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832179c22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461d55b8018441f4"/>
    <x:sheet xmlns:r="http://schemas.openxmlformats.org/officeDocument/2006/relationships" name="entity_mentions" sheetId="2" r:id="R23a99f1c5e904bfa"/>
    <x:sheet xmlns:r="http://schemas.openxmlformats.org/officeDocument/2006/relationships" name="category_summary" sheetId="3" r:id="Rd8d46c0a19ca4bb6"/>
    <x:sheet xmlns:r="http://schemas.openxmlformats.org/officeDocument/2006/relationships" name="unclassified_items" sheetId="4" r:id="Rfa796607fab3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1"/>
      <x:color rgb="FF203047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33C59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9ed69842841a2" /><Relationship Type="http://schemas.openxmlformats.org/officeDocument/2006/relationships/theme" Target="/xl/theme/theme1.xml" Id="Rc8c15e4c5a594404" /><Relationship Type="http://schemas.openxmlformats.org/officeDocument/2006/relationships/sharedStrings" Target="/xl/sharedStrings.xml" Id="R2341605234284183" /><Relationship Type="http://schemas.openxmlformats.org/officeDocument/2006/relationships/worksheet" Target="/xl/worksheets/sheet1.xml" Id="R461d55b8018441f4" /><Relationship Type="http://schemas.openxmlformats.org/officeDocument/2006/relationships/worksheet" Target="/xl/worksheets/sheet2.xml" Id="R23a99f1c5e904bfa" /><Relationship Type="http://schemas.openxmlformats.org/officeDocument/2006/relationships/worksheet" Target="/xl/worksheets/sheet3.xml" Id="Rd8d46c0a19ca4bb6" /><Relationship Type="http://schemas.openxmlformats.org/officeDocument/2006/relationships/worksheet" Target="/xl/worksheets/sheet4.xml" Id="Rfa796607fab346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6" hidden="0" customWidth="1"/>
    <x:col min="4" max="4" width="14" hidden="0" customWidth="1"/>
    <x:col min="5" max="5" width="30" hidden="0" customWidth="1"/>
    <x:col min="6" max="6" width="65" hidden="0" customWidth="1"/>
    <x:col min="7" max="7" width="66" hidden="0" customWidth="1"/>
    <x:col min="8" max="8" width="82" hidden="0" customWidth="1"/>
    <x:col min="9" max="9" width="24" hidden="0" customWidth="1"/>
  </x:cols>
  <x:sheetData>
    <x:row r="1" ht="44" customHeight="1">
      <x:c r="A1" s="6" t="str">
        <x:v>event_id</x:v>
      </x:c>
      <x:c r="B1" s="6" t="str">
        <x:v>event_date</x:v>
      </x:c>
      <x:c r="C1" s="6" t="str">
        <x:v>category</x:v>
      </x:c>
      <x:c r="D1" s="6" t="str">
        <x:v>category_zh</x:v>
      </x:c>
      <x:c r="E1" s="6" t="str">
        <x:v>canonical_entity_or_topic</x:v>
      </x:c>
      <x:c r="F1" s="6" t="str">
        <x:v>core_fact</x:v>
      </x:c>
      <x:c r="G1" s="6" t="str">
        <x:v>source_files</x:v>
      </x:c>
      <x:c r="H1" s="6" t="str">
        <x:v>citation_anchors</x:v>
      </x:c>
      <x:c r="I1" s="6" t="str">
        <x:v>merged_source_count</x:v>
      </x:c>
    </x:row>
    <x:row r="2" ht="126" customHeight="1">
      <x:c r="A2" s="3" t="str">
        <x:v>EVT-001</x:v>
      </x:c>
      <x:c r="B2" s="8" t="n">
        <x:v>46122</x:v>
      </x:c>
      <x:c r="C2" s="3" t="str">
        <x:v>policy_update</x:v>
      </x:c>
      <x:c r="D2" s="3" t="str">
        <x:v>政策更新</x:v>
      </x:c>
      <x:c r="E2" s="3" t="str">
        <x:v>渠道设备更新专项</x:v>
      </x:c>
      <x:c r="F2" s="3" t="str">
        <x:v>合成发展改革办公室发布首批试点清单，额度42.0亿元，申报从2026-04-15开始</x:v>
      </x:c>
      <x:c r="G2" s="3" t="str">
        <x:v>news_packet/page_exports/morning_finance_page_0410.md;news_packet/policy_docs/policy_meeting_release.pdf</x:v>
      </x:c>
      <x:c r="H2" s="3" t="str">
        <x:v>morning_finance_page_0410.md|宏观与政策|首批额度为 42.0 亿元;policy_meeting_release.pdf|附件：二季度重点工具摘要|首批试点清单 42.0 亿元</x:v>
      </x:c>
      <x:c r="I2" s="10" t="n">
        <x:v>2</x:v>
      </x:c>
    </x:row>
    <x:row r="3" ht="126" customHeight="1">
      <x:c r="A3" s="7" t="str">
        <x:v>EVT-002</x:v>
      </x:c>
      <x:c r="B3" s="9" t="n">
        <x:v>46122</x:v>
      </x:c>
      <x:c r="C3" s="7" t="str">
        <x:v>company_disclosure</x:v>
      </x:c>
      <x:c r="D3" s="7" t="str">
        <x:v>企业公告</x:v>
      </x:c>
      <x:c r="E3" s="7" t="str">
        <x:v>北衡智造股份</x:v>
      </x:c>
      <x:c r="F3" s="7" t="str">
        <x:v>董事会审议通过设备采购合同，合同金额6.8亿元</x:v>
      </x:c>
      <x:c r="G3" s="7" t="str">
        <x:v>news_packet/page_exports/a_share_flash_stream_0410.txt;news_packet/page_exports/evening_notice_rollup_0410.md</x:v>
      </x:c>
      <x:c r="H3" s="7" t="str">
        <x:v>a_share_flash_stream_0410.txt|日期分组：2026-04-10|董事会审议通过设备采购合同;evening_notice_rollup_0410.md|【签大单】|董事会已审议设备采购合同</x:v>
      </x:c>
      <x:c r="I3" s="11" t="n">
        <x:v>2</x:v>
      </x:c>
    </x:row>
    <x:row r="4" ht="126" customHeight="1">
      <x:c r="A4" s="3" t="str">
        <x:v>EVT-003</x:v>
      </x:c>
      <x:c r="B4" s="8" t="n">
        <x:v>46122</x:v>
      </x:c>
      <x:c r="C4" s="3" t="str">
        <x:v>company_disclosure</x:v>
      </x:c>
      <x:c r="D4" s="3" t="str">
        <x:v>企业公告</x:v>
      </x:c>
      <x:c r="E4" s="3" t="str">
        <x:v>星澄云服集团</x:v>
      </x:c>
      <x:c r="F4" s="3" t="str">
        <x:v>签署南湾园区软件运维框架协议，预计2026年5月起分阶段验收</x:v>
      </x:c>
      <x:c r="G4" s="3" t="str">
        <x:v>news_packet/page_exports/a_share_flash_stream_0410.txt</x:v>
      </x:c>
      <x:c r="H4" s="3" t="str">
        <x:v>a_share_flash_stream_0410.txt|日期分组：2026-04-10|签署南湾园区软件运维框架协议</x:v>
      </x:c>
      <x:c r="I4" s="10" t="n">
        <x:v>1</x:v>
      </x:c>
    </x:row>
    <x:row r="5" ht="126" customHeight="1">
      <x:c r="A5" s="7" t="str">
        <x:v>EVT-004</x:v>
      </x:c>
      <x:c r="B5" s="9" t="n">
        <x:v>46122</x:v>
      </x:c>
      <x:c r="C5" s="7" t="str">
        <x:v>company_disclosure</x:v>
      </x:c>
      <x:c r="D5" s="7" t="str">
        <x:v>企业公告</x:v>
      </x:c>
      <x:c r="E5" s="7" t="str">
        <x:v>星澈云服股份</x:v>
      </x:c>
      <x:c r="F5" s="7" t="str">
        <x:v>披露一季度经营快报，企业云托管收入同比增长18.4%，海外节点迁移费用增加</x:v>
      </x:c>
      <x:c r="G5" s="7" t="str">
        <x:v>news_packet/page_exports/morning_finance_page_0410.md;news_packet/page_exports/a_share_flash_stream_0410.txt;news_packet/page_exports/evening_notice_rollup_0410.md</x:v>
      </x:c>
      <x:c r="H5" s="7" t="str">
        <x:v>morning_finance_page_0410.md|公司消息|云托管收入同比增长 18.4%;a_share_flash_stream_0410.txt|日期分组：2026-04-10|云托管收入同比增长 18.4%;a_share_flash_stream_0410.txt|日期分组：2026-04-10|费用变动已在一季度经营快报中说明;evening_notice_rollup_0410.md|【品大事】|海外节点迁移费用增加</x:v>
      </x:c>
      <x:c r="I5" s="11" t="n">
        <x:v>4</x:v>
      </x:c>
    </x:row>
    <x:row r="6" ht="126" customHeight="1">
      <x:c r="A6" s="3" t="str">
        <x:v>EVT-005</x:v>
      </x:c>
      <x:c r="B6" s="8" t="n">
        <x:v>46122</x:v>
      </x:c>
      <x:c r="C6" s="3" t="str">
        <x:v>macro_data</x:v>
      </x:c>
      <x:c r="D6" s="3" t="str">
        <x:v>宏观数据</x:v>
      </x:c>
      <x:c r="E6" s="3" t="str">
        <x:v>澜舟物流景气指数</x:v>
      </x:c>
      <x:c r="F6" s="3" t="str">
        <x:v>3月综合读数为51.6，较上月回升1.1点</x:v>
      </x:c>
      <x:c r="G6" s="3" t="str">
        <x:v>news_packet/page_exports/morning_finance_page_0410.md</x:v>
      </x:c>
      <x:c r="H6" s="3" t="str">
        <x:v>morning_finance_page_0410.md|宏观与政策|综合读数为 51.6</x:v>
      </x:c>
      <x:c r="I6" s="10" t="n">
        <x:v>1</x:v>
      </x:c>
    </x:row>
    <x:row r="7" ht="126" customHeight="1">
      <x:c r="A7" s="7" t="str">
        <x:v>EVT-006</x:v>
      </x:c>
      <x:c r="B7" s="9" t="n">
        <x:v>46122</x:v>
      </x:c>
      <x:c r="C7" s="7" t="str">
        <x:v>market_movement</x:v>
      </x:c>
      <x:c r="D7" s="7" t="str">
        <x:v>股市动态</x:v>
      </x:c>
      <x:c r="E7" s="7" t="str">
        <x:v>沪澜综合指数</x:v>
      </x:c>
      <x:c r="F7" s="7" t="str">
        <x:v>午间上涨0.5%，云服务与智能制造板块成交活跃</x:v>
      </x:c>
      <x:c r="G7" s="7" t="str">
        <x:v>news_packet/page_exports/morning_finance_page_0410.md</x:v>
      </x:c>
      <x:c r="H7" s="7" t="str">
        <x:v>morning_finance_page_0410.md|市场表现|午间，沪澜综合指数上涨 0.5%</x:v>
      </x:c>
      <x:c r="I7" s="11" t="n">
        <x:v>1</x:v>
      </x:c>
    </x:row>
    <x:row r="8" ht="126" customHeight="1">
      <x:c r="A8" s="3" t="str">
        <x:v>EVT-007</x:v>
      </x:c>
      <x:c r="B8" s="8" t="n">
        <x:v>46123</x:v>
      </x:c>
      <x:c r="C8" s="3" t="str">
        <x:v>policy_update</x:v>
      </x:c>
      <x:c r="D8" s="3" t="str">
        <x:v>政策更新</x:v>
      </x:c>
      <x:c r="E8" s="3" t="str">
        <x:v>小微票据周转便利</x:v>
      </x:c>
      <x:c r="F8" s="3" t="str">
        <x:v>合成金融服务局宣布小微票据周转便利期限延至2026-06-30，覆盖合成区内中小企业票据再贴现需求</x:v>
      </x:c>
      <x:c r="G8" s="3" t="str">
        <x:v>news_packet/policy_docs/policy_meeting_release.pdf</x:v>
      </x:c>
      <x:c r="H8" s="3" t="str">
        <x:v>policy_meeting_release.pdf|第1页正文及附件|小微票据周转便利；延至 2026-06-30</x:v>
      </x:c>
      <x:c r="I8" s="10" t="n">
        <x:v>1</x:v>
      </x:c>
    </x:row>
    <x:row r="9" ht="126" customHeight="1">
      <x:c r="A9" s="7" t="str">
        <x:v>EVT-008</x:v>
      </x:c>
      <x:c r="B9" s="9" t="n">
        <x:v>46123</x:v>
      </x:c>
      <x:c r="C9" s="7" t="str">
        <x:v>company_disclosure</x:v>
      </x:c>
      <x:c r="D9" s="7" t="str">
        <x:v>企业公告</x:v>
      </x:c>
      <x:c r="E9" s="7" t="str">
        <x:v>北衡智造股份</x:v>
      </x:c>
      <x:c r="F9" s="7" t="str">
        <x:v>披露设备采购合同，合同金额6.8亿元，交付周期覆盖2026年6月至2027年1月</x:v>
      </x:c>
      <x:c r="G9" s="7" t="str">
        <x:v>news_packet/page_exports/evening_notice_rollup_0410.md</x:v>
      </x:c>
      <x:c r="H9" s="7" t="str">
        <x:v>evening_notice_rollup_0410.md|【品大事】|公告正文落款日期为 2026-04-11</x:v>
      </x:c>
      <x:c r="I9" s="11" t="n">
        <x:v>1</x:v>
      </x:c>
    </x:row>
    <x:row r="10" ht="126" customHeight="1">
      <x:c r="A10" s="3" t="str">
        <x:v>EVT-009</x:v>
      </x:c>
      <x:c r="B10" s="8" t="n">
        <x:v>46123</x:v>
      </x:c>
      <x:c r="C10" s="3" t="str">
        <x:v>market_movement</x:v>
      </x:c>
      <x:c r="D10" s="3" t="str">
        <x:v>股市动态</x:v>
      </x:c>
      <x:c r="E10" s="3" t="str">
        <x:v>沪澜综合指数</x:v>
      </x:c>
      <x:c r="F10" s="3" t="str">
        <x:v>收涨0.7%，盘中一度下探0.4%</x:v>
      </x:c>
      <x:c r="G10" s="3" t="str">
        <x:v>news_packet/page_exports/market_data_brief_0411.txt</x:v>
      </x:c>
      <x:c r="H10" s="3" t="str">
        <x:v>market_data_brief_0411.txt|【指数】|沪澜综合指数收涨 0.7%</x:v>
      </x:c>
      <x:c r="I10" s="10" t="n">
        <x:v>1</x:v>
      </x:c>
    </x:row>
    <x:row r="11" ht="126" customHeight="1">
      <x:c r="A11" s="7" t="str">
        <x:v>EVT-010</x:v>
      </x:c>
      <x:c r="B11" s="9" t="n">
        <x:v>46123</x:v>
      </x:c>
      <x:c r="C11" s="7" t="str">
        <x:v>market_movement</x:v>
      </x:c>
      <x:c r="D11" s="7" t="str">
        <x:v>股市动态</x:v>
      </x:c>
      <x:c r="E11" s="7" t="str">
        <x:v>样本资金利率</x:v>
      </x:c>
      <x:c r="F11" s="7" t="str">
        <x:v>样本资金利率小幅回落，短端品种成交保持活跃</x:v>
      </x:c>
      <x:c r="G11" s="7" t="str">
        <x:v>news_packet/page_exports/market_data_brief_0411.txt</x:v>
      </x:c>
      <x:c r="H11" s="7" t="str">
        <x:v>market_data_brief_0411.txt|【资金】|样本资金利率小幅回落</x:v>
      </x:c>
      <x:c r="I11" s="11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72" hidden="0" customWidth="1"/>
    <x:col min="5" max="5" width="40" hidden="0" customWidth="1"/>
    <x:col min="6" max="6" width="24" hidden="0" customWidth="1"/>
  </x:cols>
  <x:sheetData>
    <x:row r="1" ht="44" customHeight="1">
      <x:c r="A1" s="6" t="str">
        <x:v>canonical_entity</x:v>
      </x:c>
      <x:c r="B1" s="6" t="str">
        <x:v>alias_seen</x:v>
      </x:c>
      <x:c r="C1" s="6" t="str">
        <x:v>entity_type</x:v>
      </x:c>
      <x:c r="D1" s="6" t="str">
        <x:v>source_file</x:v>
      </x:c>
      <x:c r="E1" s="6" t="str">
        <x:v>source_section</x:v>
      </x:c>
      <x:c r="F1" s="6" t="str">
        <x:v>first_mention_order</x:v>
      </x:c>
    </x:row>
    <x:row r="2" ht="46" customHeight="1">
      <x:c r="A2" s="3" t="str">
        <x:v>合成发展改革办公室</x:v>
      </x:c>
      <x:c r="B2" s="3" t="str">
        <x:v>合成发展改革办公室</x:v>
      </x:c>
      <x:c r="C2" s="3" t="str">
        <x:v>policy_issuer</x:v>
      </x:c>
      <x:c r="D2" s="3" t="str">
        <x:v>news_packet/page_exports/morning_finance_page_0410.md</x:v>
      </x:c>
      <x:c r="E2" s="3" t="str">
        <x:v>宏观与政策</x:v>
      </x:c>
      <x:c r="F2" s="3" t="n">
        <x:v>1</x:v>
      </x:c>
    </x:row>
    <x:row r="3" ht="46" customHeight="1">
      <x:c r="A3" s="7" t="str">
        <x:v>渠道设备更新专项</x:v>
      </x:c>
      <x:c r="B3" s="7" t="str">
        <x:v>渠道设备更新专项</x:v>
      </x:c>
      <x:c r="C3" s="7" t="str">
        <x:v>policy_program</x:v>
      </x:c>
      <x:c r="D3" s="7" t="str">
        <x:v>news_packet/page_exports/morning_finance_page_0410.md</x:v>
      </x:c>
      <x:c r="E3" s="7" t="str">
        <x:v>宏观与政策</x:v>
      </x:c>
      <x:c r="F3" s="7" t="n">
        <x:v>2</x:v>
      </x:c>
    </x:row>
    <x:row r="4" ht="46" customHeight="1">
      <x:c r="A4" s="3" t="str">
        <x:v>澜舟物流景气指数</x:v>
      </x:c>
      <x:c r="B4" s="3" t="str">
        <x:v>澜舟物流景气指数</x:v>
      </x:c>
      <x:c r="C4" s="3" t="str">
        <x:v>macro_indicator</x:v>
      </x:c>
      <x:c r="D4" s="3" t="str">
        <x:v>news_packet/page_exports/morning_finance_page_0410.md</x:v>
      </x:c>
      <x:c r="E4" s="3" t="str">
        <x:v>宏观与政策</x:v>
      </x:c>
      <x:c r="F4" s="3" t="n">
        <x:v>3</x:v>
      </x:c>
    </x:row>
    <x:row r="5" ht="46" customHeight="1">
      <x:c r="A5" s="7" t="str">
        <x:v>星澈云服股份</x:v>
      </x:c>
      <x:c r="B5" s="7" t="str">
        <x:v>星澈云服股份</x:v>
      </x:c>
      <x:c r="C5" s="7" t="str">
        <x:v>listed_company</x:v>
      </x:c>
      <x:c r="D5" s="7" t="str">
        <x:v>news_packet/page_exports/morning_finance_page_0410.md</x:v>
      </x:c>
      <x:c r="E5" s="7" t="str">
        <x:v>公司消息</x:v>
      </x:c>
      <x:c r="F5" s="7" t="n">
        <x:v>4</x:v>
      </x:c>
    </x:row>
    <x:row r="6" ht="46" customHeight="1">
      <x:c r="A6" s="3" t="str">
        <x:v>沪澜综合指数</x:v>
      </x:c>
      <x:c r="B6" s="3" t="str">
        <x:v>沪澜综合指数</x:v>
      </x:c>
      <x:c r="C6" s="3" t="str">
        <x:v>market_index</x:v>
      </x:c>
      <x:c r="D6" s="3" t="str">
        <x:v>news_packet/page_exports/morning_finance_page_0410.md</x:v>
      </x:c>
      <x:c r="E6" s="3" t="str">
        <x:v>市场表现</x:v>
      </x:c>
      <x:c r="F6" s="3" t="n">
        <x:v>5</x:v>
      </x:c>
    </x:row>
    <x:row r="7" ht="46" customHeight="1">
      <x:c r="A7" s="7" t="str">
        <x:v>星澈云服股份</x:v>
      </x:c>
      <x:c r="B7" s="7" t="str">
        <x:v>星澈云</x:v>
      </x:c>
      <x:c r="C7" s="7" t="str">
        <x:v>listed_company</x:v>
      </x:c>
      <x:c r="D7" s="7" t="str">
        <x:v>news_packet/page_exports/a_share_flash_stream_0410.txt</x:v>
      </x:c>
      <x:c r="E7" s="7" t="str">
        <x:v>日期分组：2026-04-10</x:v>
      </x:c>
      <x:c r="F7" s="7" t="n">
        <x:v>6</x:v>
      </x:c>
    </x:row>
    <x:row r="8" ht="46" customHeight="1">
      <x:c r="A8" s="3" t="str">
        <x:v>星澄云服集团</x:v>
      </x:c>
      <x:c r="B8" s="3" t="str">
        <x:v>星澄云服</x:v>
      </x:c>
      <x:c r="C8" s="3" t="str">
        <x:v>listed_company</x:v>
      </x:c>
      <x:c r="D8" s="3" t="str">
        <x:v>news_packet/page_exports/a_share_flash_stream_0410.txt</x:v>
      </x:c>
      <x:c r="E8" s="3" t="str">
        <x:v>日期分组：2026-04-10</x:v>
      </x:c>
      <x:c r="F8" s="3" t="n">
        <x:v>7</x:v>
      </x:c>
    </x:row>
    <x:row r="9" ht="46" customHeight="1">
      <x:c r="A9" s="7" t="str">
        <x:v>北衡智造股份</x:v>
      </x:c>
      <x:c r="B9" s="7" t="str">
        <x:v>北衡智能</x:v>
      </x:c>
      <x:c r="C9" s="7" t="str">
        <x:v>listed_company</x:v>
      </x:c>
      <x:c r="D9" s="7" t="str">
        <x:v>news_packet/page_exports/a_share_flash_stream_0410.txt</x:v>
      </x:c>
      <x:c r="E9" s="7" t="str">
        <x:v>日期分组：2026-04-10</x:v>
      </x:c>
      <x:c r="F9" s="7" t="n">
        <x:v>8</x:v>
      </x:c>
    </x:row>
    <x:row r="10" ht="46" customHeight="1">
      <x:c r="A10" s="3" t="str">
        <x:v>星澈云服股份</x:v>
      </x:c>
      <x:c r="B10" s="3" t="str">
        <x:v>星澈云服</x:v>
      </x:c>
      <x:c r="C10" s="3" t="str">
        <x:v>listed_company</x:v>
      </x:c>
      <x:c r="D10" s="3" t="str">
        <x:v>news_packet/page_exports/a_share_flash_stream_0410.txt</x:v>
      </x:c>
      <x:c r="E10" s="3" t="str">
        <x:v>日期分组：2026-04-10</x:v>
      </x:c>
      <x:c r="F10" s="3" t="n">
        <x:v>9</x:v>
      </x:c>
    </x:row>
    <x:row r="11" ht="46" customHeight="1">
      <x:c r="A11" s="7" t="str">
        <x:v>星澈云服股份</x:v>
      </x:c>
      <x:c r="B11" s="7" t="str">
        <x:v>星澈云服</x:v>
      </x:c>
      <x:c r="C11" s="7" t="str">
        <x:v>listed_company</x:v>
      </x:c>
      <x:c r="D11" s="7" t="str">
        <x:v>news_packet/page_exports/evening_notice_rollup_0410.md</x:v>
      </x:c>
      <x:c r="E11" s="7" t="str">
        <x:v>【品大事】</x:v>
      </x:c>
      <x:c r="F11" s="7" t="n">
        <x:v>10</x:v>
      </x:c>
    </x:row>
    <x:row r="12" ht="46" customHeight="1">
      <x:c r="A12" s="3" t="str">
        <x:v>星澈云服股份</x:v>
      </x:c>
      <x:c r="B12" s="3" t="str">
        <x:v>星澈云服股份</x:v>
      </x:c>
      <x:c r="C12" s="3" t="str">
        <x:v>listed_company</x:v>
      </x:c>
      <x:c r="D12" s="3" t="str">
        <x:v>news_packet/page_exports/evening_notice_rollup_0410.md</x:v>
      </x:c>
      <x:c r="E12" s="3" t="str">
        <x:v>【品大事】</x:v>
      </x:c>
      <x:c r="F12" s="3" t="n">
        <x:v>11</x:v>
      </x:c>
    </x:row>
    <x:row r="13" ht="46" customHeight="1">
      <x:c r="A13" s="7" t="str">
        <x:v>北衡智造股份</x:v>
      </x:c>
      <x:c r="B13" s="7" t="str">
        <x:v>北衡智造</x:v>
      </x:c>
      <x:c r="C13" s="7" t="str">
        <x:v>listed_company</x:v>
      </x:c>
      <x:c r="D13" s="7" t="str">
        <x:v>news_packet/page_exports/evening_notice_rollup_0410.md</x:v>
      </x:c>
      <x:c r="E13" s="7" t="str">
        <x:v>【品大事】</x:v>
      </x:c>
      <x:c r="F13" s="7" t="n">
        <x:v>12</x:v>
      </x:c>
    </x:row>
    <x:row r="14" ht="46" customHeight="1">
      <x:c r="A14" s="3" t="str">
        <x:v>北衡智造股份</x:v>
      </x:c>
      <x:c r="B14" s="3" t="str">
        <x:v>北衡智造股份</x:v>
      </x:c>
      <x:c r="C14" s="3" t="str">
        <x:v>listed_company</x:v>
      </x:c>
      <x:c r="D14" s="3" t="str">
        <x:v>news_packet/page_exports/evening_notice_rollup_0410.md</x:v>
      </x:c>
      <x:c r="E14" s="3" t="str">
        <x:v>【品大事】</x:v>
      </x:c>
      <x:c r="F14" s="3" t="n">
        <x:v>13</x:v>
      </x:c>
    </x:row>
    <x:row r="15" ht="46" customHeight="1">
      <x:c r="A15" s="7" t="str">
        <x:v>北衡智造股份</x:v>
      </x:c>
      <x:c r="B15" s="7" t="str">
        <x:v>北衡智能</x:v>
      </x:c>
      <x:c r="C15" s="7" t="str">
        <x:v>listed_company</x:v>
      </x:c>
      <x:c r="D15" s="7" t="str">
        <x:v>news_packet/page_exports/evening_notice_rollup_0410.md</x:v>
      </x:c>
      <x:c r="E15" s="7" t="str">
        <x:v>【签大单】</x:v>
      </x:c>
      <x:c r="F15" s="7" t="n">
        <x:v>14</x:v>
      </x:c>
    </x:row>
    <x:row r="16" ht="46" customHeight="1">
      <x:c r="A16" s="3" t="str">
        <x:v>沪澜综合指数</x:v>
      </x:c>
      <x:c r="B16" s="3" t="str">
        <x:v>沪澜综合指数</x:v>
      </x:c>
      <x:c r="C16" s="3" t="str">
        <x:v>market_index</x:v>
      </x:c>
      <x:c r="D16" s="3" t="str">
        <x:v>news_packet/page_exports/market_data_brief_0411.txt</x:v>
      </x:c>
      <x:c r="E16" s="3" t="str">
        <x:v>【指数】</x:v>
      </x:c>
      <x:c r="F16" s="3" t="n">
        <x:v>15</x:v>
      </x:c>
    </x:row>
    <x:row r="17" ht="46" customHeight="1">
      <x:c r="A17" s="7" t="str">
        <x:v>样本资金利率</x:v>
      </x:c>
      <x:c r="B17" s="7" t="str">
        <x:v>样本资金利率</x:v>
      </x:c>
      <x:c r="C17" s="7" t="str">
        <x:v>market_rate</x:v>
      </x:c>
      <x:c r="D17" s="7" t="str">
        <x:v>news_packet/page_exports/market_data_brief_0411.txt</x:v>
      </x:c>
      <x:c r="E17" s="7" t="str">
        <x:v>【资金】</x:v>
      </x:c>
      <x:c r="F17" s="7" t="n">
        <x:v>16</x:v>
      </x:c>
    </x:row>
    <x:row r="18" ht="46" customHeight="1">
      <x:c r="A18" s="3" t="str">
        <x:v>合成金融服务局</x:v>
      </x:c>
      <x:c r="B18" s="3" t="str">
        <x:v>合成金融服务局</x:v>
      </x:c>
      <x:c r="C18" s="3" t="str">
        <x:v>policy_issuer</x:v>
      </x:c>
      <x:c r="D18" s="3" t="str">
        <x:v>news_packet/policy_docs/policy_meeting_release.pdf</x:v>
      </x:c>
      <x:c r="E18" s="3" t="str">
        <x:v>第1页正文</x:v>
      </x:c>
      <x:c r="F18" s="3" t="n">
        <x:v>17</x:v>
      </x:c>
    </x:row>
    <x:row r="19" ht="46" customHeight="1">
      <x:c r="A19" s="7" t="str">
        <x:v>小微票据周转便利</x:v>
      </x:c>
      <x:c r="B19" s="7" t="str">
        <x:v>小微票据周转便利</x:v>
      </x:c>
      <x:c r="C19" s="7" t="str">
        <x:v>policy_program</x:v>
      </x:c>
      <x:c r="D19" s="7" t="str">
        <x:v>news_packet/policy_docs/policy_meeting_release.pdf</x:v>
      </x:c>
      <x:c r="E19" s="7" t="str">
        <x:v>第1页正文</x:v>
      </x:c>
      <x:c r="F19" s="7" t="n">
        <x:v>18</x:v>
      </x:c>
    </x:row>
    <x:row r="20" ht="46" customHeight="1">
      <x:c r="A20" s="3" t="str">
        <x:v>渠道设备更新专项</x:v>
      </x:c>
      <x:c r="B20" s="3" t="str">
        <x:v>渠道设备更新专项</x:v>
      </x:c>
      <x:c r="C20" s="3" t="str">
        <x:v>policy_program</x:v>
      </x:c>
      <x:c r="D20" s="3" t="str">
        <x:v>news_packet/policy_docs/policy_meeting_release.pdf</x:v>
      </x:c>
      <x:c r="E20" s="3" t="str">
        <x:v>第1页正文</x:v>
      </x:c>
      <x:c r="F20" s="3" t="n">
        <x:v>19</x:v>
      </x:c>
    </x:row>
    <x:row r="21" ht="46" customHeight="1">
      <x:c r="A21" s="7" t="str">
        <x:v>渠道设备更新专项</x:v>
      </x:c>
      <x:c r="B21" s="7" t="str">
        <x:v>渠道设备更新专项配套</x:v>
      </x:c>
      <x:c r="C21" s="7" t="str">
        <x:v>policy_program</x:v>
      </x:c>
      <x:c r="D21" s="7" t="str">
        <x:v>news_packet/policy_docs/policy_meeting_release.pdf</x:v>
      </x:c>
      <x:c r="E21" s="7" t="str">
        <x:v>第1页附件：二季度重点工具摘要</x:v>
      </x:c>
      <x:c r="F21" s="7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4" hidden="0" customWidth="1"/>
    <x:col min="5" max="5" width="85" hidden="0" customWidth="1"/>
  </x:cols>
  <x:sheetData>
    <x:row r="1" ht="44" customHeight="1">
      <x:c r="A1" s="6" t="str">
        <x:v>category</x:v>
      </x:c>
      <x:c r="B1" s="6" t="str">
        <x:v>category_zh</x:v>
      </x:c>
      <x:c r="C1" s="6" t="str">
        <x:v>event_count</x:v>
      </x:c>
      <x:c r="D1" s="6" t="str">
        <x:v>merged_source_count</x:v>
      </x:c>
      <x:c r="E1" s="6" t="str">
        <x:v>notes</x:v>
      </x:c>
    </x:row>
    <x:row r="2" ht="46" customHeight="1">
      <x:c r="A2" s="3" t="str">
        <x:v>policy_update</x:v>
      </x:c>
      <x:c r="B2" s="3" t="str">
        <x:v>政策更新</x:v>
      </x:c>
      <x:c r="C2" s="10" t="n">
        <x:f>COUNTIF(events!$C$2:$C$11,A2)</x:f>
        <x:v>2</x:v>
      </x:c>
      <x:c r="D2" s="10" t="n">
        <x:f>SUMIF(events!$C$2:$C$11,A2,events!$I$2:$I$11)</x:f>
        <x:v>3</x:v>
      </x:c>
      <x:c r="E2" s="3" t="str">
        <x:v>政策项目或工具作为事件主体；发布机构在主体提及中保留。</x:v>
      </x:c>
    </x:row>
    <x:row r="3" ht="46" customHeight="1">
      <x:c r="A3" s="7" t="str">
        <x:v>company_disclosure</x:v>
      </x:c>
      <x:c r="B3" s="7" t="str">
        <x:v>企业公告</x:v>
      </x:c>
      <x:c r="C3" s="11" t="n">
        <x:f>COUNTIF(events!$C$2:$C$11,A3)</x:f>
        <x:v>4</x:v>
      </x:c>
      <x:c r="D3" s="11" t="n">
        <x:f>SUMIF(events!$C$2:$C$11,A3,events!$I$2:$I$11)</x:f>
        <x:v>8</x:v>
      </x:c>
      <x:c r="E3" s="7" t="str">
        <x:v>星澈经营快报合并4个片段、3个文件；北衡审议与正式披露分列。</x:v>
      </x:c>
    </x:row>
    <x:row r="4" ht="46" customHeight="1">
      <x:c r="A4" s="3" t="str">
        <x:v>macro_data</x:v>
      </x:c>
      <x:c r="B4" s="3" t="str">
        <x:v>宏观数据</x:v>
      </x:c>
      <x:c r="C4" s="10" t="n">
        <x:f>COUNTIF(events!$C$2:$C$11,A4)</x:f>
        <x:v>1</x:v>
      </x:c>
      <x:c r="D4" s="10" t="n">
        <x:f>SUMIF(events!$C$2:$C$11,A4,events!$I$2:$I$11)</x:f>
        <x:v>1</x:v>
      </x:c>
      <x:c r="E4" s="3" t="str">
        <x:v>澜舟物流景气指数 3 月读数。</x:v>
      </x:c>
    </x:row>
    <x:row r="5" ht="46" customHeight="1">
      <x:c r="A5" s="7" t="str">
        <x:v>market_movement</x:v>
      </x:c>
      <x:c r="B5" s="7" t="str">
        <x:v>股市动态</x:v>
      </x:c>
      <x:c r="C5" s="11" t="n">
        <x:f>COUNTIF(events!$C$2:$C$11,A5)</x:f>
        <x:v>3</x:v>
      </x:c>
      <x:c r="D5" s="11" t="n">
        <x:f>SUMIF(events!$C$2:$C$11,A5,events!$I$2:$I$11)</x:f>
        <x:v>3</x:v>
      </x:c>
      <x:c r="E5" s="7" t="str">
        <x:v>两日指数表现分列；更正仅作日期佐证，不另增事件或片段。</x:v>
      </x:c>
    </x:row>
    <x:row r="6" ht="46" customHeight="1">
      <x:c r="A6" s="3" t="str">
        <x:v>other_finance</x:v>
      </x:c>
      <x:c r="B6" s="3" t="str">
        <x:v>其他财经</x:v>
      </x:c>
      <x:c r="C6" s="10" t="n">
        <x:f>COUNTIF(events!$C$2:$C$11,A6)</x:f>
        <x:v>0</x:v>
      </x:c>
      <x:c r="D6" s="10" t="n">
        <x:f>SUMIF(events!$C$2:$C$11,A6,events!$I$2:$I$11)</x:f>
        <x:v>0</x:v>
      </x:c>
      <x:c r="E6" s="3" t="str">
        <x:v>本批次无其他财经事件。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72" hidden="0" customWidth="1"/>
    <x:col min="3" max="3" width="40" hidden="0" customWidth="1"/>
    <x:col min="4" max="4" width="40" hidden="0" customWidth="1"/>
    <x:col min="5" max="5" width="75" hidden="0" customWidth="1"/>
  </x:cols>
  <x:sheetData>
    <x:row r="1" ht="44" customHeight="1">
      <x:c r="A1" s="6" t="str">
        <x:v>item_id</x:v>
      </x:c>
      <x:c r="B1" s="6" t="str">
        <x:v>source_file</x:v>
      </x:c>
      <x:c r="C1" s="6" t="str">
        <x:v>source_section</x:v>
      </x:c>
      <x:c r="D1" s="6" t="str">
        <x:v>reason_code</x:v>
      </x:c>
      <x:c r="E1" s="6" t="str">
        <x:v>evidence_snippet</x:v>
      </x:c>
    </x:row>
    <x:row r="2" ht="58" customHeight="1">
      <x:c r="A2" s="3" t="str">
        <x:v>UNC-001</x:v>
      </x:c>
      <x:c r="B2" s="3" t="str">
        <x:v>news_packet/page_exports/a_share_flash_stream_0410.txt</x:v>
      </x:c>
      <x:c r="C2" s="3" t="str">
        <x:v>日期分组：2026-04-09</x:v>
      </x:c>
      <x:c r="D2" s="3" t="str">
        <x:v>outside_target_date_range</x:v>
      </x:c>
      <x:c r="E2" s="3" t="str">
        <x:v>北衡智能：启动供应链改造计划</x:v>
      </x:c>
    </x:row>
    <x:row r="3" ht="58" customHeight="1">
      <x:c r="A3" s="7" t="str">
        <x:v>UNC-002</x:v>
      </x:c>
      <x:c r="B3" s="7" t="str">
        <x:v>news_packet/page_exports/a_share_flash_stream_0410.txt</x:v>
      </x:c>
      <x:c r="C3" s="7" t="str">
        <x:v>热门文章</x:v>
      </x:c>
      <x:c r="D3" s="7" t="str">
        <x:v>page_noise_or_site_module</x:v>
      </x:c>
      <x:c r="E3" s="7" t="str">
        <x:v>热门文章：周末消费观察 / 机构问答精选</x:v>
      </x:c>
    </x:row>
    <x:row r="4" ht="58" customHeight="1">
      <x:c r="A4" s="3" t="str">
        <x:v>UNC-003</x:v>
      </x:c>
      <x:c r="B4" s="3" t="str">
        <x:v>news_packet/page_exports/evening_notice_rollup_0410.md</x:v>
      </x:c>
      <x:c r="C4" s="3" t="str">
        <x:v>【观业绩】</x:v>
      </x:c>
      <x:c r="D4" s="3" t="str">
        <x:v>background_or_forecast_only</x:v>
      </x:c>
      <x:c r="E4" s="3" t="str">
        <x:v>二季度软件运维需求可能保持平稳</x:v>
      </x:c>
    </x:row>
    <x:row r="5" ht="58" customHeight="1">
      <x:c r="A5" s="7" t="str">
        <x:v>UNC-004</x:v>
      </x:c>
      <x:c r="B5" s="7" t="str">
        <x:v>news_packet/page_exports/market_data_brief_0411.txt</x:v>
      </x:c>
      <x:c r="C5" s="7" t="str">
        <x:v>【评论】</x:v>
      </x:c>
      <x:c r="D5" s="7" t="str">
        <x:v>background_or_forecast_only</x:v>
      </x:c>
      <x:c r="E5" s="7" t="str">
        <x:v>下周资金面仍需观察税期扰动</x:v>
      </x:c>
    </x:row>
    <x:row r="6" ht="58" customHeight="1">
      <x:c r="A6" s="3" t="str">
        <x:v>UNC-005</x:v>
      </x:c>
      <x:c r="B6" s="3" t="str">
        <x:v>news_packet/page_exports/weekend_preview_page_0412.md</x:v>
      </x:c>
      <x:c r="C6" s="3" t="str">
        <x:v>下周观察</x:v>
      </x:c>
      <x:c r="D6" s="3" t="str">
        <x:v>outside_target_date_range</x:v>
      </x:c>
      <x:c r="E6" s="3" t="str">
        <x:v>机构展望下周资金面</x:v>
      </x:c>
    </x:row>
    <x:row r="7" ht="58" customHeight="1">
      <x:c r="A7" s="7" t="str">
        <x:v>UNC-006</x:v>
      </x:c>
      <x:c r="B7" s="7" t="str">
        <x:v>news_packet/source_logs/export_manifest.txt</x:v>
      </x:c>
      <x:c r="C7" s="7" t="str">
        <x:v>导出批次</x:v>
      </x:c>
      <x:c r="D7" s="7" t="str">
        <x:v>page_noise_or_site_module</x:v>
      </x:c>
      <x:c r="E7" s="7" t="str">
        <x:v>本清单仅记录离线资料包生成情况</x:v>
      </x:c>
    </x:row>
    <x:row r="8" ht="58" customHeight="1">
      <x:c r="A8" s="3" t="str">
        <x:v>UNC-007</x:v>
      </x:c>
      <x:c r="B8" s="3" t="str">
        <x:v>news_packet/source_logs/crawler_notes_ignored.txt</x:v>
      </x:c>
      <x:c r="C8" s="3" t="str">
        <x:v>抓取备注</x:v>
      </x:c>
      <x:c r="D8" s="3" t="str">
        <x:v>page_noise_or_site_module</x:v>
      </x:c>
      <x:c r="E8" s="3" t="str">
        <x:v>页面存在相关推荐、热门榜单和客户端推广模块</x:v>
      </x:c>
    </x:row>
    <x:row r="9" ht="58" customHeight="1">
      <x:c r="A9" s="7" t="str">
        <x:v>UNC-008</x:v>
      </x:c>
      <x:c r="B9" s="7" t="str">
        <x:v>news_packet/misc/city_service_notice_0410.txt</x:v>
      </x:c>
      <x:c r="C9" s="7" t="str">
        <x:v>南湾市交通提示</x:v>
      </x:c>
      <x:c r="D9" s="7" t="str">
        <x:v>non_finance_topic</x:v>
      </x:c>
      <x:c r="E9" s="7" t="str">
        <x:v>周末部分道路分时段封闭</x:v>
      </x:c>
    </x:row>
    <x:row r="10" ht="58" customHeight="1">
      <x:c r="A10" s="3" t="str">
        <x:v>UNC-009</x:v>
      </x:c>
      <x:c r="B10" s="3" t="str">
        <x:v>news_packet/misc/product_ad_snippets.txt</x:v>
      </x:c>
      <x:c r="C10" s="3" t="str">
        <x:v>客户端下载提示</x:v>
      </x:c>
      <x:c r="D10" s="3" t="str">
        <x:v>page_noise_or_site_module</x:v>
      </x:c>
      <x:c r="E10" s="3" t="str">
        <x:v>查看自选股提醒、基金问答和视频栏目</x:v>
      </x:c>
    </x:row>
    <x:row r="11" ht="58" customHeight="1">
      <x:c r="A11" s="7" t="str">
        <x:v>UNC-010</x:v>
      </x:c>
      <x:c r="B11" s="7" t="str">
        <x:v>news_packet/policy_docs/policy_meeting_release.pdf</x:v>
      </x:c>
      <x:c r="C11" s="7" t="str">
        <x:v>附件：二季度重点工具摘要</x:v>
      </x:c>
      <x:c r="D11" s="7" t="str">
        <x:v>outside_target_date_range</x:v>
      </x:c>
      <x:c r="E11" s="7" t="str">
        <x:v>旧版消费券核销提醒 2026-04-08</x:v>
      </x:c>
    </x:row>
    <x:row r="12" ht="58" customHeight="1">
      <x:c r="A12" s="3" t="str">
        <x:v>UNC-012</x:v>
      </x:c>
      <x:c r="B12" s="3" t="str">
        <x:v>news_packet/page_exports/morning_finance_page_0410.md</x:v>
      </x:c>
      <x:c r="C12" s="3" t="str">
        <x:v>相关推荐</x:v>
      </x:c>
      <x:c r="D12" s="3" t="str">
        <x:v>page_noise_or_site_module</x:v>
      </x:c>
      <x:c r="E12" s="3" t="str">
        <x:v>下周资金面观察 / 城市道路施工提示</x:v>
      </x:c>
    </x:row>
  </x:sheetData>
  <x:pageMargins left="0.7" right="0.7" top="0.75" bottom="0.75" header="0.3" footer="0.3"/>
</x:worksheet>
</file>