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f70d55cf0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核查" sheetId="1" r:id="R23e853a2ddcb4edf"/>
    <x:sheet xmlns:r="http://schemas.openxmlformats.org/officeDocument/2006/relationships" name="线体日汇总" sheetId="2" r:id="R14e8c8806c624d36"/>
    <x:sheet xmlns:r="http://schemas.openxmlformats.org/officeDocument/2006/relationships" name="复核说明" sheetId="3" r:id="R06f6755f8ebe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%"/>
  </x:numFmts>
  <x:fonts count="5">
    <x:font>
      <x:sz val="11"/>
      <x:name val="Carlito"/>
    </x:font>
    <x:font>
      <x:sz val="10"/>
      <x:color rgb="FF213544"/>
      <x:name val="Arial"/>
    </x:font>
    <x:font>
      <x:b/>
      <x:sz val="15"/>
      <x:color rgb="FF203F55"/>
      <x:name val="Arial"/>
    </x:font>
    <x:font>
      <x:sz val="10"/>
      <x:color rgb="FF6B788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A4900"/>
      </x:font>
      <x:fill>
        <x:patternFill patternType="solid">
          <x:bgColor rgb="FFFFF1D4"/>
        </x:patternFill>
      </x:fill>
    </x:dxf>
    <x:dxf>
      <x:font>
        <x:color rgb="FF9B2727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1763abc6b4106" /><Relationship Type="http://schemas.openxmlformats.org/officeDocument/2006/relationships/theme" Target="/xl/theme/theme1.xml" Id="R1f93e6be7d0740cf" /><Relationship Type="http://schemas.openxmlformats.org/officeDocument/2006/relationships/sharedStrings" Target="/xl/sharedStrings.xml" Id="R7c4f11fd824b4528" /><Relationship Type="http://schemas.openxmlformats.org/officeDocument/2006/relationships/worksheet" Target="/xl/worksheets/sheet1.xml" Id="R23e853a2ddcb4edf" /><Relationship Type="http://schemas.openxmlformats.org/officeDocument/2006/relationships/worksheet" Target="/xl/worksheets/sheet2.xml" Id="R14e8c8806c624d36" /><Relationship Type="http://schemas.openxmlformats.org/officeDocument/2006/relationships/worksheet" Target="/xl/worksheets/sheet3.xml" Id="R06f6755f8ebe44e4" /></Relationships>
</file>

<file path=xl/tables/table1.xml><?xml version="1.0" encoding="utf-8"?>
<x:table xmlns:x="http://schemas.openxmlformats.org/spreadsheetml/2006/main" id="1" name="BusinessTable6" displayName="BusinessTable6" ref="A5:O257" headerRowCount="1" totalsRowCount="0" totalsRowShown="0">
  <x:autoFilter ref="A5:O257"/>
  <x:tableColumns count="15">
    <x:tableColumn id="1" name="日期"/>
    <x:tableColumn id="2" name="部门"/>
    <x:tableColumn id="3" name="产品"/>
    <x:tableColumn id="4" name="工单"/>
    <x:tableColumn id="5" name="计划产量"/>
    <x:tableColumn id="6" name="产品标准工时"/>
    <x:tableColumn id="7" name="工单计划工时"/>
    <x:tableColumn id="8" name="计划工时占比"/>
    <x:tableColumn id="9" name="实际LaborHours"/>
    <x:tableColumn id="10" name="排期偏差率"/>
    <x:tableColumn id="11" name="UnitsInspected"/>
    <x:tableColumn id="12" name="Defects"/>
    <x:tableColumn id="13" name="DefectRate"/>
    <x:tableColumn id="14" name="异常标记"/>
    <x:tableColumn id="15" name="计划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Table7" displayName="BusinessTable7" ref="A5:L89" headerRowCount="1" totalsRowCount="0" totalsRowShown="0">
  <x:autoFilter ref="A5:L89"/>
  <x:tableColumns count="12">
    <x:tableColumn id="1" name="日期"/>
    <x:tableColumn id="2" name="部门"/>
    <x:tableColumn id="3" name="LaborHours"/>
    <x:tableColumn id="4" name="OvertimeHours"/>
    <x:tableColumn id="5" name="Headcount"/>
    <x:tableColumn id="6" name="非生产工时"/>
    <x:tableColumn id="7" name="可分摊生产工时"/>
    <x:tableColumn id="8" name="计划工时合计"/>
    <x:tableColumn id="9" name="已分摊工时"/>
    <x:tableColumn id="10" name="加班占比"/>
    <x:tableColumn id="11" name="待确认事项"/>
    <x:tableColumn id="12" name="核对差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333da33aa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ec00b1f125422a" /></Relationships>
</file>

<file path=xl/worksheets/sheet1.xml><?xml version="1.0" encoding="utf-8"?>
<x:worksheet xmlns:x="http://schemas.openxmlformats.org/spreadsheetml/2006/main">
  <x:sheetPr>
    <x:tabColor rgb="FF203F5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2" hidden="0" customWidth="1"/>
    <x:col min="4" max="4" width="25" hidden="0" customWidth="1"/>
    <x:col min="5" max="5" width="13" hidden="0" customWidth="1"/>
    <x:col min="6" max="6" width="17" hidden="0" customWidth="1"/>
    <x:col min="7" max="7" width="17" hidden="0" customWidth="1"/>
    <x:col min="8" max="8" width="17" hidden="0" customWidth="1"/>
    <x:col min="9" max="9" width="19" hidden="0" customWidth="1"/>
    <x:col min="10" max="10" width="17" hidden="0" customWidth="1"/>
    <x:col min="11" max="11" width="17" hidden="0" customWidth="1"/>
    <x:col min="12" max="12" width="13" hidden="0" customWidth="1"/>
    <x:col min="13" max="13" width="16" hidden="0" customWidth="1"/>
    <x:col min="14" max="14" width="48" hidden="0" customWidth="1"/>
    <x:col min="15" max="15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工单排期偏差与人工工时核查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5" t="str">
        <x:v>2026-09-21至2026-09-27 / 252个有效工单 / 工时单位：人时；单件标准单位：小时/件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9" t="str">
        <x:v>日期</x:v>
      </x:c>
      <x:c r="B5" s="9" t="str">
        <x:v>部门</x:v>
      </x:c>
      <x:c r="C5" s="9" t="str">
        <x:v>产品</x:v>
      </x:c>
      <x:c r="D5" s="9" t="str">
        <x:v>工单</x:v>
      </x:c>
      <x:c r="E5" s="9" t="str">
        <x:v>计划产量</x:v>
      </x:c>
      <x:c r="F5" s="9" t="str">
        <x:v>产品标准工时</x:v>
      </x:c>
      <x:c r="G5" s="9" t="str">
        <x:v>工单计划工时</x:v>
      </x:c>
      <x:c r="H5" s="9" t="str">
        <x:v>计划工时占比</x:v>
      </x:c>
      <x:c r="I5" s="9" t="str">
        <x:v>实际LaborHours</x:v>
      </x:c>
      <x:c r="J5" s="9" t="str">
        <x:v>排期偏差率</x:v>
      </x:c>
      <x:c r="K5" s="9" t="str">
        <x:v>UnitsInspected</x:v>
      </x:c>
      <x:c r="L5" s="9" t="str">
        <x:v>Defects</x:v>
      </x:c>
      <x:c r="M5" s="9" t="str">
        <x:v>DefectRate</x:v>
      </x:c>
      <x:c r="N5" s="9" t="str">
        <x:v>异常标记</x:v>
      </x:c>
      <x:c r="O5" s="9" t="str">
        <x:v>计划依据</x:v>
      </x:c>
    </x:row>
    <x:row r="6" ht="36" customHeight="1">
      <x:c r="A6" s="10" t="d">
        <x:v>2026-09-21T00:00:00.000Z</x:v>
      </x:c>
      <x:c r="B6" s="2" t="str">
        <x:v>D01</x:v>
      </x:c>
      <x:c r="C6" s="2" t="str">
        <x:v>P002</x:v>
      </x:c>
      <x:c r="D6" s="2" t="str">
        <x:v>WO-0921-01-01</x:v>
      </x:c>
      <x:c r="E6" s="2" t="n">
        <x:v>320</x:v>
      </x:c>
      <x:c r="F6" s="11" t="n">
        <x:v>0.08</x:v>
      </x:c>
      <x:c r="G6" s="11" t="n">
        <x:f>IF(F6="","",E6*F6)</x:f>
        <x:v>25.6</x:v>
      </x:c>
      <x:c r="H6" s="12" t="n">
        <x:f>IF(OR(G6="",'线体日汇总'!H6="",'线体日汇总'!H6=0),"",G6/'线体日汇总'!H6)</x:f>
        <x:v>0.28193832599118945</x:v>
      </x:c>
      <x:c r="I6" s="11" t="n">
        <x:f>IF(OR(H6="",'线体日汇总'!G6=""),"",H6*'线体日汇总'!G6)</x:f>
        <x:v>34.56</x:v>
      </x:c>
      <x:c r="J6" s="12" t="n">
        <x:f>IF(OR(G6="",G6=0,I6=""),"",(I6-G6)/G6)</x:f>
        <x:v>0.35000000000000003</x:v>
      </x:c>
      <x:c r="K6" s="2" t="n">
        <x:v>1400</x:v>
      </x:c>
      <x:c r="L6" s="2" t="n">
        <x:v>8</x:v>
      </x:c>
      <x:c r="M6" s="12" t="n">
        <x:f>IF(OR(K6="",K6=0),"",L6/K6)</x:f>
        <x:v>0.005714285714285714</x:v>
      </x:c>
      <x:c r="N6" s="13" t="str">
        <x:v>排期偏差异常</x:v>
      </x:c>
      <x:c r="O6" s="2" t="str">
        <x:v>PP-0921</x:v>
      </x:c>
    </x:row>
    <x:row r="7" ht="36" customHeight="1">
      <x:c r="A7" s="10" t="d">
        <x:v>2026-09-21T00:00:00.000Z</x:v>
      </x:c>
      <x:c r="B7" s="2" t="str">
        <x:v>D01</x:v>
      </x:c>
      <x:c r="C7" s="2" t="str">
        <x:v>P003</x:v>
      </x:c>
      <x:c r="D7" s="2" t="str">
        <x:v>WO-0921-01-02</x:v>
      </x:c>
      <x:c r="E7" s="2" t="n">
        <x:v>340</x:v>
      </x:c>
      <x:c r="F7" s="11" t="n">
        <x:v>0.1</x:v>
      </x:c>
      <x:c r="G7" s="11" t="n">
        <x:f>IF(F7="","",E7*F7)</x:f>
        <x:v>34</x:v>
      </x:c>
      <x:c r="H7" s="12" t="n">
        <x:f>IF(OR(G7="",'线体日汇总'!H6="",'线体日汇总'!H6=0),"",G7/'线体日汇总'!H6)</x:f>
        <x:v>0.3744493392070485</x:v>
      </x:c>
      <x:c r="I7" s="11" t="n">
        <x:f>IF(OR(H7="",'线体日汇总'!G6=""),"",H7*'线体日汇总'!G6)</x:f>
        <x:v>45.900000000000006</x:v>
      </x:c>
      <x:c r="J7" s="12" t="n">
        <x:f>IF(OR(G7="",G7=0,I7=""),"",(I7-G7)/G7)</x:f>
        <x:v>0.35000000000000014</x:v>
      </x:c>
      <x:c r="K7" s="2" t="n">
        <x:v>820</x:v>
      </x:c>
      <x:c r="L7" s="2" t="n">
        <x:v>21</x:v>
      </x:c>
      <x:c r="M7" s="12" t="n">
        <x:f>IF(OR(K7="",K7=0),"",L7/K7)</x:f>
        <x:v>0.025609756097560974</x:v>
      </x:c>
      <x:c r="N7" s="13" t="str">
        <x:v>排期偏差异常</x:v>
      </x:c>
      <x:c r="O7" s="2" t="str">
        <x:v>PP-0921</x:v>
      </x:c>
    </x:row>
    <x:row r="8" ht="36" customHeight="1">
      <x:c r="A8" s="10" t="d">
        <x:v>2026-09-21T00:00:00.000Z</x:v>
      </x:c>
      <x:c r="B8" s="2" t="str">
        <x:v>D01</x:v>
      </x:c>
      <x:c r="C8" s="2" t="str">
        <x:v>P004</x:v>
      </x:c>
      <x:c r="D8" s="2" t="str">
        <x:v>WO-0921-01-03</x:v>
      </x:c>
      <x:c r="E8" s="2" t="n">
        <x:v>260</x:v>
      </x:c>
      <x:c r="F8" s="11" t="n">
        <x:v>0.11999999999999998</x:v>
      </x:c>
      <x:c r="G8" s="11" t="n">
        <x:f>IF(F8="","",E8*F8)</x:f>
        <x:v>31.199999999999996</x:v>
      </x:c>
      <x:c r="H8" s="12" t="n">
        <x:f>IF(OR(G8="",'线体日汇总'!H6="",'线体日汇总'!H6=0),"",G8/'线体日汇总'!H6)</x:f>
        <x:v>0.34361233480176206</x:v>
      </x:c>
      <x:c r="I8" s="11" t="n">
        <x:f>IF(OR(H8="",'线体日汇总'!G6=""),"",H8*'线体日汇总'!G6)</x:f>
        <x:v>42.11999999999999</x:v>
      </x:c>
      <x:c r="J8" s="12" t="n">
        <x:f>IF(OR(G8="",G8=0,I8=""),"",(I8-G8)/G8)</x:f>
        <x:v>0.34999999999999987</x:v>
      </x:c>
      <x:c r="K8" s="2" t="n">
        <x:v>1850</x:v>
      </x:c>
      <x:c r="L8" s="2" t="n">
        <x:v>22</x:v>
      </x:c>
      <x:c r="M8" s="12" t="n">
        <x:f>IF(OR(K8="",K8=0),"",L8/K8)</x:f>
        <x:v>0.011891891891891892</x:v>
      </x:c>
      <x:c r="N8" s="13" t="str">
        <x:v>排期偏差异常</x:v>
      </x:c>
      <x:c r="O8" s="2" t="str">
        <x:v>PP-0921</x:v>
      </x:c>
    </x:row>
    <x:row r="9" ht="36" customHeight="1">
      <x:c r="A9" s="10" t="d">
        <x:v>2026-09-21T00:00:00.000Z</x:v>
      </x:c>
      <x:c r="B9" s="2" t="str">
        <x:v>D02</x:v>
      </x:c>
      <x:c r="C9" s="2" t="str">
        <x:v>P004</x:v>
      </x:c>
      <x:c r="D9" s="2" t="str">
        <x:v>WO-0921-02-01</x:v>
      </x:c>
      <x:c r="E9" s="2" t="n">
        <x:v>400</x:v>
      </x:c>
      <x:c r="F9" s="11" t="n">
        <x:v>0.11999999999999998</x:v>
      </x:c>
      <x:c r="G9" s="11" t="n">
        <x:f>IF(F9="","",E9*F9)</x:f>
        <x:v>47.99999999999999</x:v>
      </x:c>
      <x:c r="H9" s="12" t="n">
        <x:f>IF(OR(G9="",'线体日汇总'!H7="",'线体日汇总'!H7=0),"",G9/'线体日汇总'!H7)</x:f>
        <x:v>0.4285714285714285</x:v>
      </x:c>
      <x:c r="I9" s="11" t="n">
        <x:f>IF(OR(H9="",'线体日汇总'!G7=""),"",H9*'线体日汇总'!G7)</x:f>
        <x:v>33.599999999999994</x:v>
      </x:c>
      <x:c r="J9" s="12" t="n">
        <x:f>IF(OR(G9="",G9=0,I9=""),"",(I9-G9)/G9)</x:f>
        <x:v>-0.3</x:v>
      </x:c>
      <x:c r="K9" s="2" t="n">
        <x:v>1410</x:v>
      </x:c>
      <x:c r="L9" s="2" t="n">
        <x:v>5</x:v>
      </x:c>
      <x:c r="M9" s="12" t="n">
        <x:f>IF(OR(K9="",K9=0),"",L9/K9)</x:f>
        <x:v>0.0035460992907801418</x:v>
      </x:c>
      <x:c r="N9" s="13" t="str">
        <x:v>排期偏差异常</x:v>
      </x:c>
      <x:c r="O9" s="2" t="str">
        <x:v>PC-001</x:v>
      </x:c>
    </x:row>
    <x:row r="10" ht="36" customHeight="1">
      <x:c r="A10" s="10" t="d">
        <x:v>2026-09-21T00:00:00.000Z</x:v>
      </x:c>
      <x:c r="B10" s="2" t="str">
        <x:v>D02</x:v>
      </x:c>
      <x:c r="C10" s="2" t="str">
        <x:v>P005</x:v>
      </x:c>
      <x:c r="D10" s="2" t="str">
        <x:v>WO-0921-02-02</x:v>
      </x:c>
      <x:c r="E10" s="2" t="n">
        <x:v>160</x:v>
      </x:c>
      <x:c r="F10" s="11" t="n">
        <x:v>0.15</x:v>
      </x:c>
      <x:c r="G10" s="11" t="n">
        <x:f>IF(F10="","",E10*F10)</x:f>
        <x:v>24</x:v>
      </x:c>
      <x:c r="H10" s="12" t="n">
        <x:f>IF(OR(G10="",'线体日汇总'!H7="",'线体日汇总'!H7=0),"",G10/'线体日汇总'!H7)</x:f>
        <x:v>0.21428571428571427</x:v>
      </x:c>
      <x:c r="I10" s="11" t="n">
        <x:f>IF(OR(H10="",'线体日汇总'!G7=""),"",H10*'线体日汇总'!G7)</x:f>
        <x:v>16.8</x:v>
      </x:c>
      <x:c r="J10" s="12" t="n">
        <x:f>IF(OR(G10="",G10=0,I10=""),"",(I10-G10)/G10)</x:f>
        <x:v>-0.3</x:v>
      </x:c>
      <x:c r="K10" s="2" t="n">
        <x:v>860</x:v>
      </x:c>
      <x:c r="L10" s="2" t="n">
        <x:v>8</x:v>
      </x:c>
      <x:c r="M10" s="12" t="n">
        <x:f>IF(OR(K10="",K10=0),"",L10/K10)</x:f>
        <x:v>0.009302325581395349</x:v>
      </x:c>
      <x:c r="N10" s="13" t="str">
        <x:v>排期偏差异常</x:v>
      </x:c>
      <x:c r="O10" s="2" t="str">
        <x:v>PP-0921</x:v>
      </x:c>
    </x:row>
    <x:row r="11" ht="36" customHeight="1">
      <x:c r="A11" s="10" t="d">
        <x:v>2026-09-21T00:00:00.000Z</x:v>
      </x:c>
      <x:c r="B11" s="2" t="str">
        <x:v>D02</x:v>
      </x:c>
      <x:c r="C11" s="2" t="str">
        <x:v>P006</x:v>
      </x:c>
      <x:c r="D11" s="2" t="str">
        <x:v>WO-0921-02-03</x:v>
      </x:c>
      <x:c r="E11" s="2" t="n">
        <x:v>200</x:v>
      </x:c>
      <x:c r="F11" s="11" t="n">
        <x:v>0.2</x:v>
      </x:c>
      <x:c r="G11" s="11" t="n">
        <x:f>IF(F11="","",E11*F11)</x:f>
        <x:v>40</x:v>
      </x:c>
      <x:c r="H11" s="12" t="n">
        <x:f>IF(OR(G11="",'线体日汇总'!H7="",'线体日汇总'!H7=0),"",G11/'线体日汇总'!H7)</x:f>
        <x:v>0.35714285714285715</x:v>
      </x:c>
      <x:c r="I11" s="11" t="n">
        <x:f>IF(OR(H11="",'线体日汇总'!G7=""),"",H11*'线体日汇总'!G7)</x:f>
        <x:v>28.000000000000004</x:v>
      </x:c>
      <x:c r="J11" s="12" t="n">
        <x:f>IF(OR(G11="",G11=0,I11=""),"",(I11-G11)/G11)</x:f>
        <x:v>-0.29999999999999993</x:v>
      </x:c>
      <x:c r="K11" s="2" t="n">
        <x:v>1330</x:v>
      </x:c>
      <x:c r="L11" s="2" t="n">
        <x:v>13</x:v>
      </x:c>
      <x:c r="M11" s="12" t="n">
        <x:f>IF(OR(K11="",K11=0),"",L11/K11)</x:f>
        <x:v>0.009774436090225564</x:v>
      </x:c>
      <x:c r="N11" s="13" t="str">
        <x:v>排期偏差异常</x:v>
      </x:c>
      <x:c r="O11" s="2" t="str">
        <x:v>PP-0921</x:v>
      </x:c>
    </x:row>
    <x:row r="12" ht="36" customHeight="1">
      <x:c r="A12" s="10" t="d">
        <x:v>2026-09-21T00:00:00.000Z</x:v>
      </x:c>
      <x:c r="B12" s="2" t="str">
        <x:v>D03</x:v>
      </x:c>
      <x:c r="C12" s="2" t="str">
        <x:v>P006</x:v>
      </x:c>
      <x:c r="D12" s="2" t="str">
        <x:v>WO-0921-03-01</x:v>
      </x:c>
      <x:c r="E12" s="2" t="n">
        <x:v>160</x:v>
      </x:c>
      <x:c r="F12" s="11" t="n">
        <x:v>0.2</x:v>
      </x:c>
      <x:c r="G12" s="11" t="n">
        <x:f>IF(F12="","",E12*F12)</x:f>
        <x:v>32</x:v>
      </x:c>
      <x:c r="H12" s="12" t="n">
        <x:f>IF(OR(G12="",'线体日汇总'!H8="",'线体日汇总'!H8=0),"",G12/'线体日汇总'!H8)</x:f>
        <x:v>0.5442176870748299</x:v>
      </x:c>
      <x:c r="I12" s="11" t="n">
        <x:f>IF(OR(H12="",'线体日汇总'!G8=""),"",H12*'线体日汇总'!G8)</x:f>
        <x:v>30.399981859410428</x:v>
      </x:c>
      <x:c r="J12" s="12" t="n">
        <x:f>IF(OR(G12="",G12=0,I12=""),"",(I12-G12)/G12)</x:f>
        <x:v>-0.050000566893424137</x:v>
      </x:c>
      <x:c r="K12" s="2" t="n">
        <x:v>1400</x:v>
      </x:c>
      <x:c r="L12" s="2" t="n">
        <x:v>7</x:v>
      </x:c>
      <x:c r="M12" s="12" t="n">
        <x:f>IF(OR(K12="",K12=0),"",L12/K12)</x:f>
        <x:v>0.005</x:v>
      </x:c>
      <x:c r="N12" s="13" t="str">
        <x:v>加班占比异常</x:v>
      </x:c>
      <x:c r="O12" s="2" t="str">
        <x:v>PP-0921</x:v>
      </x:c>
    </x:row>
    <x:row r="13" ht="36" customHeight="1">
      <x:c r="A13" s="10" t="d">
        <x:v>2026-09-21T00:00:00.000Z</x:v>
      </x:c>
      <x:c r="B13" s="2" t="str">
        <x:v>D03</x:v>
      </x:c>
      <x:c r="C13" s="2" t="str">
        <x:v>P007</x:v>
      </x:c>
      <x:c r="D13" s="2" t="str">
        <x:v>WO-0921-03-02</x:v>
      </x:c>
      <x:c r="E13" s="2" t="n">
        <x:v>260</x:v>
      </x:c>
      <x:c r="F13" s="11" t="n">
        <x:v>0.06</x:v>
      </x:c>
      <x:c r="G13" s="11" t="n">
        <x:f>IF(F13="","",E13*F13)</x:f>
        <x:v>15.6</x:v>
      </x:c>
      <x:c r="H13" s="12" t="n">
        <x:f>IF(OR(G13="",'线体日汇总'!H8="",'线体日汇总'!H8=0),"",G13/'线体日汇总'!H8)</x:f>
        <x:v>0.26530612244897955</x:v>
      </x:c>
      <x:c r="I13" s="11" t="n">
        <x:f>IF(OR(H13="",'线体日汇总'!G8=""),"",H13*'线体日汇总'!G8)</x:f>
        <x:v>14.819991156462583</x:v>
      </x:c>
      <x:c r="J13" s="12" t="n">
        <x:f>IF(OR(G13="",G13=0,I13=""),"",(I13-G13)/G13)</x:f>
        <x:v>-0.05000056689342413</x:v>
      </x:c>
      <x:c r="K13" s="2" t="n">
        <x:v>800</x:v>
      </x:c>
      <x:c r="L13" s="2" t="n">
        <x:v>8</x:v>
      </x:c>
      <x:c r="M13" s="12" t="n">
        <x:f>IF(OR(K13="",K13=0),"",L13/K13)</x:f>
        <x:v>0.01</x:v>
      </x:c>
      <x:c r="N13" s="13" t="str">
        <x:v>加班占比异常</x:v>
      </x:c>
      <x:c r="O13" s="2" t="str">
        <x:v>PP-0921</x:v>
      </x:c>
    </x:row>
    <x:row r="14" ht="36" customHeight="1">
      <x:c r="A14" s="10" t="d">
        <x:v>2026-09-21T00:00:00.000Z</x:v>
      </x:c>
      <x:c r="B14" s="2" t="str">
        <x:v>D03</x:v>
      </x:c>
      <x:c r="C14" s="2" t="str">
        <x:v>P008</x:v>
      </x:c>
      <x:c r="D14" s="2" t="str">
        <x:v>WO-0921-03-03</x:v>
      </x:c>
      <x:c r="E14" s="2" t="n">
        <x:v>140</x:v>
      </x:c>
      <x:c r="F14" s="11" t="n">
        <x:v>0.08</x:v>
      </x:c>
      <x:c r="G14" s="11" t="n">
        <x:f>IF(F14="","",E14*F14)</x:f>
        <x:v>11.200000000000001</x:v>
      </x:c>
      <x:c r="H14" s="12" t="n">
        <x:f>IF(OR(G14="",'线体日汇总'!H8="",'线体日汇总'!H8=0),"",G14/'线体日汇总'!H8)</x:f>
        <x:v>0.1904761904761905</x:v>
      </x:c>
      <x:c r="I14" s="11" t="n">
        <x:f>IF(OR(H14="",'线体日汇总'!G8=""),"",H14*'线体日汇总'!G8)</x:f>
        <x:v>10.63999365079365</x:v>
      </x:c>
      <x:c r="J14" s="12" t="n">
        <x:f>IF(OR(G14="",G14=0,I14=""),"",(I14-G14)/G14)</x:f>
        <x:v>-0.05000056689342415</x:v>
      </x:c>
      <x:c r="K14" s="2" t="n">
        <x:v>1020</x:v>
      </x:c>
      <x:c r="L14" s="2" t="n">
        <x:v>6</x:v>
      </x:c>
      <x:c r="M14" s="12" t="n">
        <x:f>IF(OR(K14="",K14=0),"",L14/K14)</x:f>
        <x:v>0.0058823529411764705</x:v>
      </x:c>
      <x:c r="N14" s="13" t="str">
        <x:v>加班占比异常</x:v>
      </x:c>
      <x:c r="O14" s="2" t="str">
        <x:v>PP-0921</x:v>
      </x:c>
    </x:row>
    <x:row r="15" ht="36" customHeight="1">
      <x:c r="A15" s="10" t="d">
        <x:v>2026-09-21T00:00:00.000Z</x:v>
      </x:c>
      <x:c r="B15" s="2" t="str">
        <x:v>D04</x:v>
      </x:c>
      <x:c r="C15" s="2" t="str">
        <x:v>P008</x:v>
      </x:c>
      <x:c r="D15" s="2" t="str">
        <x:v>WO-0921-04-01</x:v>
      </x:c>
      <x:c r="E15" s="2" t="n">
        <x:v>140</x:v>
      </x:c>
      <x:c r="F15" s="11" t="n">
        <x:v>0.08</x:v>
      </x:c>
      <x:c r="G15" s="11" t="n">
        <x:f>IF(F15="","",E15*F15)</x:f>
        <x:v>11.200000000000001</x:v>
      </x:c>
      <x:c r="H15" s="12" t="n">
        <x:f>IF(OR(G15="",'线体日汇总'!H9="",'线体日汇总'!H9=0),"",G15/'线体日汇总'!H9)</x:f>
        <x:v>0.1573033707865169</x:v>
      </x:c>
      <x:c r="I15" s="11" t="n">
        <x:f>IF(OR(H15="",'线体日汇总'!G9=""),"",H15*'线体日汇总'!G9)</x:f>
        <x:v>11.759994756554311</x:v>
      </x:c>
      <x:c r="J15" s="12" t="n">
        <x:f>IF(OR(G15="",G15=0,I15=""),"",(I15-G15)/G15)</x:f>
        <x:v>0.04999953183520628</x:v>
      </x:c>
      <x:c r="K15" s="2" t="n">
        <x:v>1130</x:v>
      </x:c>
      <x:c r="L15" s="2" t="n">
        <x:v>15</x:v>
      </x:c>
      <x:c r="M15" s="12" t="n">
        <x:f>IF(OR(K15="",K15=0),"",L15/K15)</x:f>
        <x:v>0.01327433628318584</x:v>
      </x:c>
      <x:c r="N15" s="13" t="str">
        <x:v>正常</x:v>
      </x:c>
      <x:c r="O15" s="2" t="str">
        <x:v>PP-0921</x:v>
      </x:c>
    </x:row>
    <x:row r="16" ht="36" customHeight="1">
      <x:c r="A16" s="10" t="d">
        <x:v>2026-09-21T00:00:00.000Z</x:v>
      </x:c>
      <x:c r="B16" s="2" t="str">
        <x:v>D04</x:v>
      </x:c>
      <x:c r="C16" s="2" t="str">
        <x:v>P009</x:v>
      </x:c>
      <x:c r="D16" s="2" t="str">
        <x:v>WO-0921-04-02</x:v>
      </x:c>
      <x:c r="E16" s="2" t="n">
        <x:v>240</x:v>
      </x:c>
      <x:c r="F16" s="11" t="n">
        <x:v>0.1</x:v>
      </x:c>
      <x:c r="G16" s="11" t="n">
        <x:f>IF(F16="","",E16*F16)</x:f>
        <x:v>24</x:v>
      </x:c>
      <x:c r="H16" s="12" t="n">
        <x:f>IF(OR(G16="",'线体日汇总'!H9="",'线体日汇总'!H9=0),"",G16/'线体日汇总'!H9)</x:f>
        <x:v>0.3370786516853933</x:v>
      </x:c>
      <x:c r="I16" s="11" t="n">
        <x:f>IF(OR(H16="",'线体日汇总'!G9=""),"",H16*'线体日汇总'!G9)</x:f>
        <x:v>25.19998876404495</x:v>
      </x:c>
      <x:c r="J16" s="12" t="n">
        <x:f>IF(OR(G16="",G16=0,I16=""),"",(I16-G16)/G16)</x:f>
        <x:v>0.04999953183520622</x:v>
      </x:c>
      <x:c r="K16" s="2" t="n">
        <x:v>1420</x:v>
      </x:c>
      <x:c r="L16" s="2" t="n">
        <x:v>9</x:v>
      </x:c>
      <x:c r="M16" s="12" t="n">
        <x:f>IF(OR(K16="",K16=0),"",L16/K16)</x:f>
        <x:v>0.006338028169014085</x:v>
      </x:c>
      <x:c r="N16" s="13" t="str">
        <x:v>正常</x:v>
      </x:c>
      <x:c r="O16" s="2" t="str">
        <x:v>PP-0921</x:v>
      </x:c>
    </x:row>
    <x:row r="17" ht="36" customHeight="1">
      <x:c r="A17" s="10" t="d">
        <x:v>2026-09-21T00:00:00.000Z</x:v>
      </x:c>
      <x:c r="B17" s="2" t="str">
        <x:v>D04</x:v>
      </x:c>
      <x:c r="C17" s="2" t="str">
        <x:v>P010</x:v>
      </x:c>
      <x:c r="D17" s="2" t="str">
        <x:v>WO-0921-04-03R</x:v>
      </x:c>
      <x:c r="E17" s="2" t="n">
        <x:v>300</x:v>
      </x:c>
      <x:c r="F17" s="11" t="n">
        <x:v>0.11999999999999998</x:v>
      </x:c>
      <x:c r="G17" s="11" t="n">
        <x:f>IF(F17="","",E17*F17)</x:f>
        <x:v>35.99999999999999</x:v>
      </x:c>
      <x:c r="H17" s="12" t="n">
        <x:f>IF(OR(G17="",'线体日汇总'!H9="",'线体日汇总'!H9=0),"",G17/'线体日汇总'!H9)</x:f>
        <x:v>0.5056179775280899</x:v>
      </x:c>
      <x:c r="I17" s="11" t="n">
        <x:f>IF(OR(H17="",'线体日汇总'!G9=""),"",H17*'线体日汇总'!G9)</x:f>
        <x:v>37.79998314606742</x:v>
      </x:c>
      <x:c r="J17" s="12" t="n">
        <x:f>IF(OR(G17="",G17=0,I17=""),"",(I17-G17)/G17)</x:f>
        <x:v>0.049999531835206286</x:v>
      </x:c>
      <x:c r="K17" s="2" t="n">
        <x:v>860</x:v>
      </x:c>
      <x:c r="L17" s="2" t="n">
        <x:v>6</x:v>
      </x:c>
      <x:c r="M17" s="12" t="n">
        <x:f>IF(OR(K17="",K17=0),"",L17/K17)</x:f>
        <x:v>0.0069767441860465115</x:v>
      </x:c>
      <x:c r="N17" s="13" t="str">
        <x:v>正常</x:v>
      </x:c>
      <x:c r="O17" s="2" t="str">
        <x:v>PC-004</x:v>
      </x:c>
    </x:row>
    <x:row r="18" ht="36" customHeight="1">
      <x:c r="A18" s="10" t="d">
        <x:v>2026-09-21T00:00:00.000Z</x:v>
      </x:c>
      <x:c r="B18" s="2" t="str">
        <x:v>D05</x:v>
      </x:c>
      <x:c r="C18" s="2" t="str">
        <x:v>P010</x:v>
      </x:c>
      <x:c r="D18" s="2" t="str">
        <x:v>WO-0921-05-01</x:v>
      </x:c>
      <x:c r="E18" s="2" t="n">
        <x:v>140</x:v>
      </x:c>
      <x:c r="F18" s="11" t="n">
        <x:v>0.11999999999999998</x:v>
      </x:c>
      <x:c r="G18" s="11" t="n">
        <x:f>IF(F18="","",E18*F18)</x:f>
        <x:v>16.799999999999997</x:v>
      </x:c>
      <x:c r="H18" s="12" t="n">
        <x:f>IF(OR(G18="",'线体日汇总'!H10="",'线体日汇总'!H10=0),"",G18/'线体日汇总'!H10)</x:f>
        <x:v>0.20537897310513445</x:v>
      </x:c>
      <x:c r="I18" s="11" t="n">
        <x:f>IF(OR(H18="",'线体日汇总'!G10=""),"",H18*'线体日汇总'!G10)</x:f>
        <x:v>19.31999315403423</x:v>
      </x:c>
      <x:c r="J18" s="12" t="n">
        <x:f>IF(OR(G18="",G18=0,I18=""),"",(I18-G18)/G18)</x:f>
        <x:v>0.14999959250203765</x:v>
      </x:c>
      <x:c r="K18" s="2" t="n">
        <x:v>1180</x:v>
      </x:c>
      <x:c r="L18" s="2" t="n">
        <x:v>15</x:v>
      </x:c>
      <x:c r="M18" s="12" t="n">
        <x:f>IF(OR(K18="",K18=0),"",L18/K18)</x:f>
        <x:v>0.012711864406779662</x:v>
      </x:c>
      <x:c r="N18" s="13" t="str">
        <x:v>正常</x:v>
      </x:c>
      <x:c r="O18" s="2" t="str">
        <x:v>PP-0921</x:v>
      </x:c>
    </x:row>
    <x:row r="19" ht="36" customHeight="1">
      <x:c r="A19" s="10" t="d">
        <x:v>2026-09-21T00:00:00.000Z</x:v>
      </x:c>
      <x:c r="B19" s="2" t="str">
        <x:v>D05</x:v>
      </x:c>
      <x:c r="C19" s="2" t="str">
        <x:v>P011</x:v>
      </x:c>
      <x:c r="D19" s="2" t="str">
        <x:v>WO-0921-05-02</x:v>
      </x:c>
      <x:c r="E19" s="2" t="n">
        <x:v>220</x:v>
      </x:c>
      <x:c r="F19" s="11" t="n">
        <x:v>0.15</x:v>
      </x:c>
      <x:c r="G19" s="11" t="n">
        <x:f>IF(F19="","",E19*F19)</x:f>
        <x:v>33</x:v>
      </x:c>
      <x:c r="H19" s="12" t="n">
        <x:f>IF(OR(G19="",'线体日汇总'!H10="",'线体日汇总'!H10=0),"",G19/'线体日汇总'!H10)</x:f>
        <x:v>0.4034229828850856</x:v>
      </x:c>
      <x:c r="I19" s="11" t="n">
        <x:f>IF(OR(H19="",'线体日汇总'!G10=""),"",H19*'线体日汇总'!G10)</x:f>
        <x:v>37.94998655256724</x:v>
      </x:c>
      <x:c r="J19" s="12" t="n">
        <x:f>IF(OR(G19="",G19=0,I19=""),"",(I19-G19)/G19)</x:f>
        <x:v>0.14999959250203754</x:v>
      </x:c>
      <x:c r="K19" s="2" t="n">
        <x:v>950</x:v>
      </x:c>
      <x:c r="L19" s="2" t="n">
        <x:v>9</x:v>
      </x:c>
      <x:c r="M19" s="12" t="n">
        <x:f>IF(OR(K19="",K19=0),"",L19/K19)</x:f>
        <x:v>0.009473684210526316</x:v>
      </x:c>
      <x:c r="N19" s="13" t="str">
        <x:v>正常</x:v>
      </x:c>
      <x:c r="O19" s="2" t="str">
        <x:v>PP-0921</x:v>
      </x:c>
    </x:row>
    <x:row r="20" ht="36" customHeight="1">
      <x:c r="A20" s="10" t="d">
        <x:v>2026-09-21T00:00:00.000Z</x:v>
      </x:c>
      <x:c r="B20" s="2" t="str">
        <x:v>D05</x:v>
      </x:c>
      <x:c r="C20" s="2" t="str">
        <x:v>P012</x:v>
      </x:c>
      <x:c r="D20" s="2" t="str">
        <x:v>WO-0921-05-03</x:v>
      </x:c>
      <x:c r="E20" s="2" t="n">
        <x:v>160</x:v>
      </x:c>
      <x:c r="F20" s="11" t="n">
        <x:v>0.2</x:v>
      </x:c>
      <x:c r="G20" s="11" t="n">
        <x:f>IF(F20="","",E20*F20)</x:f>
        <x:v>32</x:v>
      </x:c>
      <x:c r="H20" s="12" t="n">
        <x:f>IF(OR(G20="",'线体日汇总'!H10="",'线体日汇总'!H10=0),"",G20/'线体日汇总'!H10)</x:f>
        <x:v>0.39119804400978</x:v>
      </x:c>
      <x:c r="I20" s="11" t="n">
        <x:f>IF(OR(H20="",'线体日汇总'!G10=""),"",H20*'线体日汇总'!G10)</x:f>
        <x:v>36.799986960065205</x:v>
      </x:c>
      <x:c r="J20" s="12" t="n">
        <x:f>IF(OR(G20="",G20=0,I20=""),"",(I20-G20)/G20)</x:f>
        <x:v>0.14999959250203765</x:v>
      </x:c>
      <x:c r="K20" s="2" t="n">
        <x:v>830</x:v>
      </x:c>
      <x:c r="L20" s="2" t="n">
        <x:v>8</x:v>
      </x:c>
      <x:c r="M20" s="12" t="n">
        <x:f>IF(OR(K20="",K20=0),"",L20/K20)</x:f>
        <x:v>0.00963855421686747</x:v>
      </x:c>
      <x:c r="N20" s="13" t="str">
        <x:v>正常</x:v>
      </x:c>
      <x:c r="O20" s="2" t="str">
        <x:v>PP-0921</x:v>
      </x:c>
    </x:row>
    <x:row r="21" ht="36" customHeight="1">
      <x:c r="A21" s="10" t="d">
        <x:v>2026-09-21T00:00:00.000Z</x:v>
      </x:c>
      <x:c r="B21" s="2" t="str">
        <x:v>D06</x:v>
      </x:c>
      <x:c r="C21" s="2" t="str">
        <x:v>P012</x:v>
      </x:c>
      <x:c r="D21" s="2" t="str">
        <x:v>WO-0921-06-01</x:v>
      </x:c>
      <x:c r="E21" s="2" t="n">
        <x:v>360</x:v>
      </x:c>
      <x:c r="F21" s="11" t="n">
        <x:v>0.2</x:v>
      </x:c>
      <x:c r="G21" s="11" t="n">
        <x:f>IF(F21="","",E21*F21)</x:f>
        <x:v>72</x:v>
      </x:c>
      <x:c r="H21" s="12" t="n">
        <x:f>IF(OR(G21="",'线体日汇总'!H11="",'线体日汇总'!H11=0),"",G21/'线体日汇总'!H11)</x:f>
        <x:v>0.6451612903225806</x:v>
      </x:c>
      <x:c r="I21" s="11" t="n">
        <x:f>IF(OR(H21="",'线体日汇总'!G11=""),"",H21*'线体日汇总'!G11)</x:f>
        <x:v>86.39997849462364</x:v>
      </x:c>
      <x:c r="J21" s="12" t="n">
        <x:f>IF(OR(G21="",G21=0,I21=""),"",(I21-G21)/G21)</x:f>
        <x:v>0.1999997013142172</x:v>
      </x:c>
      <x:c r="K21" s="2" t="n">
        <x:v>1880</x:v>
      </x:c>
      <x:c r="L21" s="2" t="n">
        <x:v>11</x:v>
      </x:c>
      <x:c r="M21" s="12" t="n">
        <x:f>IF(OR(K21="",K21=0),"",L21/K21)</x:f>
        <x:v>0.005851063829787234</x:v>
      </x:c>
      <x:c r="N21" s="13" t="str">
        <x:v>加班占比异常</x:v>
      </x:c>
      <x:c r="O21" s="2" t="str">
        <x:v>PP-0921</x:v>
      </x:c>
    </x:row>
    <x:row r="22" ht="36" customHeight="1">
      <x:c r="A22" s="10" t="d">
        <x:v>2026-09-21T00:00:00.000Z</x:v>
      </x:c>
      <x:c r="B22" s="2" t="str">
        <x:v>D06</x:v>
      </x:c>
      <x:c r="C22" s="2" t="str">
        <x:v>P013</x:v>
      </x:c>
      <x:c r="D22" s="2" t="str">
        <x:v>WO-0921-06-02</x:v>
      </x:c>
      <x:c r="E22" s="2" t="n">
        <x:v>340</x:v>
      </x:c>
      <x:c r="F22" s="11" t="n">
        <x:v>0.06</x:v>
      </x:c>
      <x:c r="G22" s="11" t="n">
        <x:f>IF(F22="","",E22*F22)</x:f>
        <x:v>20.4</x:v>
      </x:c>
      <x:c r="H22" s="12" t="n">
        <x:f>IF(OR(G22="",'线体日汇总'!H11="",'线体日汇总'!H11=0),"",G22/'线体日汇总'!H11)</x:f>
        <x:v>0.18279569892473116</x:v>
      </x:c>
      <x:c r="I22" s="11" t="n">
        <x:f>IF(OR(H22="",'线体日汇总'!G11=""),"",H22*'线体日汇总'!G11)</x:f>
        <x:v>24.47999390681003</x:v>
      </x:c>
      <x:c r="J22" s="12" t="n">
        <x:f>IF(OR(G22="",G22=0,I22=""),"",(I22-G22)/G22)</x:f>
        <x:v>0.19999970131421724</x:v>
      </x:c>
      <x:c r="K22" s="2" t="n">
        <x:v>1340</x:v>
      </x:c>
      <x:c r="L22" s="2" t="n">
        <x:v>4</x:v>
      </x:c>
      <x:c r="M22" s="12" t="n">
        <x:f>IF(OR(K22="",K22=0),"",L22/K22)</x:f>
        <x:v>0.0029850746268656717</x:v>
      </x:c>
      <x:c r="N22" s="13" t="str">
        <x:v>加班占比异常</x:v>
      </x:c>
      <x:c r="O22" s="2" t="str">
        <x:v>PC-005</x:v>
      </x:c>
    </x:row>
    <x:row r="23" ht="36" customHeight="1">
      <x:c r="A23" s="10" t="d">
        <x:v>2026-09-21T00:00:00.000Z</x:v>
      </x:c>
      <x:c r="B23" s="2" t="str">
        <x:v>D06</x:v>
      </x:c>
      <x:c r="C23" s="2" t="str">
        <x:v>P014</x:v>
      </x:c>
      <x:c r="D23" s="2" t="str">
        <x:v>WO-0921-06-03</x:v>
      </x:c>
      <x:c r="E23" s="2" t="n">
        <x:v>240</x:v>
      </x:c>
      <x:c r="F23" s="11" t="n">
        <x:v>0.08</x:v>
      </x:c>
      <x:c r="G23" s="11" t="n">
        <x:f>IF(F23="","",E23*F23)</x:f>
        <x:v>19.2</x:v>
      </x:c>
      <x:c r="H23" s="12" t="n">
        <x:f>IF(OR(G23="",'线体日汇总'!H11="",'线体日汇总'!H11=0),"",G23/'线体日汇总'!H11)</x:f>
        <x:v>0.17204301075268816</x:v>
      </x:c>
      <x:c r="I23" s="11" t="n">
        <x:f>IF(OR(H23="",'线体日汇总'!G11=""),"",H23*'线体日汇总'!G11)</x:f>
        <x:v>23.03999426523297</x:v>
      </x:c>
      <x:c r="J23" s="12" t="n">
        <x:f>IF(OR(G23="",G23=0,I23=""),"",(I23-G23)/G23)</x:f>
        <x:v>0.19999970131421724</x:v>
      </x:c>
      <x:c r="K23" s="2" t="n">
        <x:v>1390</x:v>
      </x:c>
      <x:c r="L23" s="2" t="n">
        <x:v>14</x:v>
      </x:c>
      <x:c r="M23" s="12" t="n">
        <x:f>IF(OR(K23="",K23=0),"",L23/K23)</x:f>
        <x:v>0.010071942446043165</x:v>
      </x:c>
      <x:c r="N23" s="13" t="str">
        <x:v>加班占比异常</x:v>
      </x:c>
      <x:c r="O23" s="2" t="str">
        <x:v>PP-0921</x:v>
      </x:c>
    </x:row>
    <x:row r="24" ht="36" customHeight="1">
      <x:c r="A24" s="10" t="d">
        <x:v>2026-09-21T00:00:00.000Z</x:v>
      </x:c>
      <x:c r="B24" s="2" t="str">
        <x:v>D07</x:v>
      </x:c>
      <x:c r="C24" s="2" t="str">
        <x:v>P014</x:v>
      </x:c>
      <x:c r="D24" s="2" t="str">
        <x:v>WO-0921-07-01</x:v>
      </x:c>
      <x:c r="E24" s="2" t="n">
        <x:v>180</x:v>
      </x:c>
      <x:c r="F24" s="11" t="n">
        <x:v>0.08</x:v>
      </x:c>
      <x:c r="G24" s="11" t="n">
        <x:f>IF(F24="","",E24*F24)</x:f>
        <x:v>14.4</x:v>
      </x:c>
      <x:c r="H24" s="12" t="n">
        <x:f>IF(OR(G24="",'线体日汇总'!H12="",'线体日汇总'!H12=0),"",G24/'线体日汇总'!H12)</x:f>
        <x:v>0.24000000000000002</x:v>
      </x:c>
      <x:c r="I24" s="11" t="n">
        <x:f>IF(OR(H24="",'线体日汇总'!G12=""),"",H24*'线体日汇总'!G12)</x:f>
        <x:v>11.520008000000002</x:v>
      </x:c>
      <x:c r="J24" s="12" t="n">
        <x:f>IF(OR(G24="",G24=0,I24=""),"",(I24-G24)/G24)</x:f>
        <x:v>-0.19999944444444429</x:v>
      </x:c>
      <x:c r="K24" s="2" t="n">
        <x:v>1130</x:v>
      </x:c>
      <x:c r="L24" s="2" t="n">
        <x:v>16</x:v>
      </x:c>
      <x:c r="M24" s="12" t="n">
        <x:f>IF(OR(K24="",K24=0),"",L24/K24)</x:f>
        <x:v>0.01415929203539823</x:v>
      </x:c>
      <x:c r="N24" s="13" t="str">
        <x:v>正常</x:v>
      </x:c>
      <x:c r="O24" s="2" t="str">
        <x:v>PP-0921</x:v>
      </x:c>
    </x:row>
    <x:row r="25" ht="36" customHeight="1">
      <x:c r="A25" s="10" t="d">
        <x:v>2026-09-21T00:00:00.000Z</x:v>
      </x:c>
      <x:c r="B25" s="2" t="str">
        <x:v>D07</x:v>
      </x:c>
      <x:c r="C25" s="2" t="str">
        <x:v>P015</x:v>
      </x:c>
      <x:c r="D25" s="2" t="str">
        <x:v>WO-0921-07-02</x:v>
      </x:c>
      <x:c r="E25" s="2" t="n">
        <x:v>240</x:v>
      </x:c>
      <x:c r="F25" s="11" t="n">
        <x:v>0.1</x:v>
      </x:c>
      <x:c r="G25" s="11" t="n">
        <x:f>IF(F25="","",E25*F25)</x:f>
        <x:v>24</x:v>
      </x:c>
      <x:c r="H25" s="12" t="n">
        <x:f>IF(OR(G25="",'线体日汇总'!H12="",'线体日汇总'!H12=0),"",G25/'线体日汇总'!H12)</x:f>
        <x:v>0.4</x:v>
      </x:c>
      <x:c r="I25" s="11" t="n">
        <x:f>IF(OR(H25="",'线体日汇总'!G12=""),"",H25*'线体日汇总'!G12)</x:f>
        <x:v>19.200013333333338</x:v>
      </x:c>
      <x:c r="J25" s="12" t="n">
        <x:f>IF(OR(G25="",G25=0,I25=""),"",(I25-G25)/G25)</x:f>
        <x:v>-0.19999944444444426</x:v>
      </x:c>
      <x:c r="K25" s="2" t="n">
        <x:v>1170</x:v>
      </x:c>
      <x:c r="L25" s="2" t="n">
        <x:v>10</x:v>
      </x:c>
      <x:c r="M25" s="12" t="n">
        <x:f>IF(OR(K25="",K25=0),"",L25/K25)</x:f>
        <x:v>0.008547008547008548</x:v>
      </x:c>
      <x:c r="N25" s="13" t="str">
        <x:v>正常</x:v>
      </x:c>
      <x:c r="O25" s="2" t="str">
        <x:v>PP-0921</x:v>
      </x:c>
    </x:row>
    <x:row r="26" ht="36" customHeight="1">
      <x:c r="A26" s="10" t="d">
        <x:v>2026-09-21T00:00:00.000Z</x:v>
      </x:c>
      <x:c r="B26" s="2" t="str">
        <x:v>D07</x:v>
      </x:c>
      <x:c r="C26" s="2" t="str">
        <x:v>P016</x:v>
      </x:c>
      <x:c r="D26" s="2" t="str">
        <x:v>WO-0921-07-03</x:v>
      </x:c>
      <x:c r="E26" s="2" t="n">
        <x:v>180</x:v>
      </x:c>
      <x:c r="F26" s="11" t="n">
        <x:v>0.11999999999999998</x:v>
      </x:c>
      <x:c r="G26" s="11" t="n">
        <x:f>IF(F26="","",E26*F26)</x:f>
        <x:v>21.599999999999998</x:v>
      </x:c>
      <x:c r="H26" s="12" t="n">
        <x:f>IF(OR(G26="",'线体日汇总'!H12="",'线体日汇总'!H12=0),"",G26/'线体日汇总'!H12)</x:f>
        <x:v>0.36</x:v>
      </x:c>
      <x:c r="I26" s="11" t="n">
        <x:f>IF(OR(H26="",'线体日汇总'!G12=""),"",H26*'线体日汇总'!G12)</x:f>
        <x:v>17.280012000000003</x:v>
      </x:c>
      <x:c r="J26" s="12" t="n">
        <x:f>IF(OR(G26="",G26=0,I26=""),"",(I26-G26)/G26)</x:f>
        <x:v>-0.19999944444444423</x:v>
      </x:c>
      <x:c r="K26" s="2" t="n">
        <x:v>540</x:v>
      </x:c>
      <x:c r="L26" s="2" t="n">
        <x:v>6</x:v>
      </x:c>
      <x:c r="M26" s="12" t="n">
        <x:f>IF(OR(K26="",K26=0),"",L26/K26)</x:f>
        <x:v>0.011111111111111112</x:v>
      </x:c>
      <x:c r="N26" s="13" t="str">
        <x:v>正常</x:v>
      </x:c>
      <x:c r="O26" s="2" t="str">
        <x:v>PP-0921</x:v>
      </x:c>
    </x:row>
    <x:row r="27" ht="36" customHeight="1">
      <x:c r="A27" s="10" t="d">
        <x:v>2026-09-21T00:00:00.000Z</x:v>
      </x:c>
      <x:c r="B27" s="2" t="str">
        <x:v>D08</x:v>
      </x:c>
      <x:c r="C27" s="2" t="str">
        <x:v>P016</x:v>
      </x:c>
      <x:c r="D27" s="2" t="str">
        <x:v>WO-0921-08-01</x:v>
      </x:c>
      <x:c r="E27" s="2" t="n">
        <x:v>120</x:v>
      </x:c>
      <x:c r="F27" s="11" t="n">
        <x:v>0.11999999999999998</x:v>
      </x:c>
      <x:c r="G27" s="11" t="n">
        <x:f>IF(F27="","",E27*F27)</x:f>
        <x:v>14.399999999999999</x:v>
      </x:c>
      <x:c r="H27" s="12" t="n">
        <x:f>IF(OR(G27="",'线体日汇总'!H13="",'线体日汇总'!H13=0),"",G27/'线体日汇总'!H13)</x:f>
        <x:v>0.14486921529175048</x:v>
      </x:c>
      <x:c r="I27" s="11" t="n">
        <x:f>IF(OR(H27="",'线体日汇总'!G13=""),"",H27*'线体日汇总'!G13)</x:f>
        <x:v>19.44000482897384</x:v>
      </x:c>
      <x:c r="J27" s="12" t="n">
        <x:f>IF(OR(G27="",G27=0,I27=""),"",(I27-G27)/G27)</x:f>
        <x:v>0.35000033534540576</x:v>
      </x:c>
      <x:c r="K27" s="2" t="n">
        <x:v>1220</x:v>
      </x:c>
      <x:c r="L27" s="2" t="n">
        <x:v>71</x:v>
      </x:c>
      <x:c r="M27" s="12" t="n">
        <x:f>IF(OR(K27="",K27=0),"",L27/K27)</x:f>
        <x:v>0.05819672131147541</x:v>
      </x:c>
      <x:c r="N27" s="13" t="str">
        <x:v>排期偏差异常；质量异常</x:v>
      </x:c>
      <x:c r="O27" s="2" t="str">
        <x:v>PP-0921</x:v>
      </x:c>
    </x:row>
    <x:row r="28" ht="36" customHeight="1">
      <x:c r="A28" s="10" t="d">
        <x:v>2026-09-21T00:00:00.000Z</x:v>
      </x:c>
      <x:c r="B28" s="2" t="str">
        <x:v>D08</x:v>
      </x:c>
      <x:c r="C28" s="2" t="str">
        <x:v>P017</x:v>
      </x:c>
      <x:c r="D28" s="2" t="str">
        <x:v>WO-0921-08-02</x:v>
      </x:c>
      <x:c r="E28" s="2" t="n">
        <x:v>300</x:v>
      </x:c>
      <x:c r="F28" s="11" t="n">
        <x:v>0.15</x:v>
      </x:c>
      <x:c r="G28" s="11" t="n">
        <x:f>IF(F28="","",E28*F28)</x:f>
        <x:v>45</x:v>
      </x:c>
      <x:c r="H28" s="12" t="n">
        <x:f>IF(OR(G28="",'线体日汇总'!H13="",'线体日汇总'!H13=0),"",G28/'线体日汇总'!H13)</x:f>
        <x:v>0.4527162977867203</x:v>
      </x:c>
      <x:c r="I28" s="11" t="n">
        <x:f>IF(OR(H28="",'线体日汇总'!G13=""),"",H28*'线体日汇总'!G13)</x:f>
        <x:v>60.75001509054326</x:v>
      </x:c>
      <x:c r="J28" s="12" t="n">
        <x:f>IF(OR(G28="",G28=0,I28=""),"",(I28-G28)/G28)</x:f>
        <x:v>0.3500003353454057</x:v>
      </x:c>
      <x:c r="K28" s="2" t="n">
        <x:v>840</x:v>
      </x:c>
      <x:c r="L28" s="2" t="n">
        <x:v>11</x:v>
      </x:c>
      <x:c r="M28" s="12" t="n">
        <x:f>IF(OR(K28="",K28=0),"",L28/K28)</x:f>
        <x:v>0.013095238095238096</x:v>
      </x:c>
      <x:c r="N28" s="13" t="str">
        <x:v>排期偏差异常</x:v>
      </x:c>
      <x:c r="O28" s="2" t="str">
        <x:v>PP-0921</x:v>
      </x:c>
    </x:row>
    <x:row r="29" ht="36" customHeight="1">
      <x:c r="A29" s="10" t="d">
        <x:v>2026-09-21T00:00:00.000Z</x:v>
      </x:c>
      <x:c r="B29" s="2" t="str">
        <x:v>D08</x:v>
      </x:c>
      <x:c r="C29" s="2" t="str">
        <x:v>P018</x:v>
      </x:c>
      <x:c r="D29" s="2" t="str">
        <x:v>WO-0921-08-03</x:v>
      </x:c>
      <x:c r="E29" s="2" t="n">
        <x:v>200</x:v>
      </x:c>
      <x:c r="F29" s="11" t="n">
        <x:v>0.2</x:v>
      </x:c>
      <x:c r="G29" s="11" t="n">
        <x:f>IF(F29="","",E29*F29)</x:f>
        <x:v>40</x:v>
      </x:c>
      <x:c r="H29" s="12" t="n">
        <x:f>IF(OR(G29="",'线体日汇总'!H13="",'线体日汇总'!H13=0),"",G29/'线体日汇总'!H13)</x:f>
        <x:v>0.40241448692152915</x:v>
      </x:c>
      <x:c r="I29" s="11" t="n">
        <x:f>IF(OR(H29="",'线体日汇总'!G13=""),"",H29*'线体日汇总'!G13)</x:f>
        <x:v>54.00001341381623</x:v>
      </x:c>
      <x:c r="J29" s="12" t="n">
        <x:f>IF(OR(G29="",G29=0,I29=""),"",(I29-G29)/G29)</x:f>
        <x:v>0.35000033534540564</x:v>
      </x:c>
      <x:c r="K29" s="2" t="n">
        <x:v>1150</x:v>
      </x:c>
      <x:c r="L29" s="2" t="n">
        <x:v>8</x:v>
      </x:c>
      <x:c r="M29" s="12" t="n">
        <x:f>IF(OR(K29="",K29=0),"",L29/K29)</x:f>
        <x:v>0.006956521739130435</x:v>
      </x:c>
      <x:c r="N29" s="13" t="str">
        <x:v>排期偏差异常</x:v>
      </x:c>
      <x:c r="O29" s="2" t="str">
        <x:v>PP-0921</x:v>
      </x:c>
    </x:row>
    <x:row r="30" ht="36" customHeight="1">
      <x:c r="A30" s="10" t="d">
        <x:v>2026-09-21T00:00:00.000Z</x:v>
      </x:c>
      <x:c r="B30" s="2" t="str">
        <x:v>D09</x:v>
      </x:c>
      <x:c r="C30" s="2" t="str">
        <x:v>P018</x:v>
      </x:c>
      <x:c r="D30" s="2" t="str">
        <x:v>WO-0921-09-01</x:v>
      </x:c>
      <x:c r="E30" s="2" t="n">
        <x:v>160</x:v>
      </x:c>
      <x:c r="F30" s="11" t="n">
        <x:v>0.2</x:v>
      </x:c>
      <x:c r="G30" s="11" t="n">
        <x:f>IF(F30="","",E30*F30)</x:f>
        <x:v>32</x:v>
      </x:c>
      <x:c r="H30" s="12" t="n">
        <x:f>IF(OR(G30="",'线体日汇总'!H14="",'线体日汇总'!H14=0),"",G30/'线体日汇总'!H14)</x:f>
        <x:v>0.5797101449275363</x:v>
      </x:c>
      <x:c r="I30" s="11" t="n">
        <x:f>IF(OR(H30="",'线体日汇总'!G14=""),"",H30*'线体日汇总'!G14)</x:f>
        <x:v>22.400019323671504</x:v>
      </x:c>
      <x:c r="J30" s="12" t="n">
        <x:f>IF(OR(G30="",G30=0,I30=""),"",(I30-G30)/G30)</x:f>
        <x:v>-0.2999993961352655</x:v>
      </x:c>
      <x:c r="K30" s="2" t="n">
        <x:v>1250</x:v>
      </x:c>
      <x:c r="L30" s="2" t="n">
        <x:v>8</x:v>
      </x:c>
      <x:c r="M30" s="12" t="n">
        <x:f>IF(OR(K30="",K30=0),"",L30/K30)</x:f>
        <x:v>0.0064</x:v>
      </x:c>
      <x:c r="N30" s="13" t="str">
        <x:v>排期偏差异常；加班占比异常</x:v>
      </x:c>
      <x:c r="O30" s="2" t="str">
        <x:v>PP-0921</x:v>
      </x:c>
    </x:row>
    <x:row r="31" ht="36" customHeight="1">
      <x:c r="A31" s="10" t="d">
        <x:v>2026-09-21T00:00:00.000Z</x:v>
      </x:c>
      <x:c r="B31" s="2" t="str">
        <x:v>D09</x:v>
      </x:c>
      <x:c r="C31" s="2" t="str">
        <x:v>P019</x:v>
      </x:c>
      <x:c r="D31" s="2" t="str">
        <x:v>WO-0921-09-02</x:v>
      </x:c>
      <x:c r="E31" s="2" t="n">
        <x:v>200</x:v>
      </x:c>
      <x:c r="F31" s="11" t="n">
        <x:v>0.06</x:v>
      </x:c>
      <x:c r="G31" s="11" t="n">
        <x:f>IF(F31="","",E31*F31)</x:f>
        <x:v>12</x:v>
      </x:c>
      <x:c r="H31" s="12" t="n">
        <x:f>IF(OR(G31="",'线体日汇总'!H14="",'线体日汇总'!H14=0),"",G31/'线体日汇总'!H14)</x:f>
        <x:v>0.21739130434782608</x:v>
      </x:c>
      <x:c r="I31" s="11" t="n">
        <x:f>IF(OR(H31="",'线体日汇总'!G14=""),"",H31*'线体日汇总'!G14)</x:f>
        <x:v>8.400007246376813</x:v>
      </x:c>
      <x:c r="J31" s="12" t="n">
        <x:f>IF(OR(G31="",G31=0,I31=""),"",(I31-G31)/G31)</x:f>
        <x:v>-0.2999993961352656</x:v>
      </x:c>
      <x:c r="K31" s="2" t="n">
        <x:v>420</x:v>
      </x:c>
      <x:c r="L31" s="2" t="n">
        <x:v>4</x:v>
      </x:c>
      <x:c r="M31" s="12" t="n">
        <x:f>IF(OR(K31="",K31=0),"",L31/K31)</x:f>
        <x:v>0.009523809523809525</x:v>
      </x:c>
      <x:c r="N31" s="13" t="str">
        <x:v>排期偏差异常；加班占比异常</x:v>
      </x:c>
      <x:c r="O31" s="2" t="str">
        <x:v>PP-0921</x:v>
      </x:c>
    </x:row>
    <x:row r="32" ht="36" customHeight="1">
      <x:c r="A32" s="10" t="d">
        <x:v>2026-09-21T00:00:00.000Z</x:v>
      </x:c>
      <x:c r="B32" s="2" t="str">
        <x:v>D09</x:v>
      </x:c>
      <x:c r="C32" s="2" t="str">
        <x:v>P020</x:v>
      </x:c>
      <x:c r="D32" s="2" t="str">
        <x:v>WO-0921-09-03</x:v>
      </x:c>
      <x:c r="E32" s="2" t="n">
        <x:v>140</x:v>
      </x:c>
      <x:c r="F32" s="11" t="n">
        <x:v>0.08</x:v>
      </x:c>
      <x:c r="G32" s="11" t="n">
        <x:f>IF(F32="","",E32*F32)</x:f>
        <x:v>11.200000000000001</x:v>
      </x:c>
      <x:c r="H32" s="12" t="n">
        <x:f>IF(OR(G32="",'线体日汇总'!H14="",'线体日汇总'!H14=0),"",G32/'线体日汇总'!H14)</x:f>
        <x:v>0.2028985507246377</x:v>
      </x:c>
      <x:c r="I32" s="11" t="n">
        <x:f>IF(OR(H32="",'线体日汇总'!G14=""),"",H32*'线体日汇总'!G14)</x:f>
        <x:v>7.840006763285026</x:v>
      </x:c>
      <x:c r="J32" s="12" t="n">
        <x:f>IF(OR(G32="",G32=0,I32=""),"",(I32-G32)/G32)</x:f>
        <x:v>-0.2999993961352656</x:v>
      </x:c>
      <x:c r="K32" s="2" t="n">
        <x:v>630</x:v>
      </x:c>
      <x:c r="L32" s="2" t="n">
        <x:v>9</x:v>
      </x:c>
      <x:c r="M32" s="12" t="n">
        <x:f>IF(OR(K32="",K32=0),"",L32/K32)</x:f>
        <x:v>0.014285714285714285</x:v>
      </x:c>
      <x:c r="N32" s="13" t="str">
        <x:v>排期偏差异常；加班占比异常</x:v>
      </x:c>
      <x:c r="O32" s="2" t="str">
        <x:v>PP-0921</x:v>
      </x:c>
    </x:row>
    <x:row r="33" ht="36" customHeight="1">
      <x:c r="A33" s="10" t="d">
        <x:v>2026-09-21T00:00:00.000Z</x:v>
      </x:c>
      <x:c r="B33" s="2" t="str">
        <x:v>D10</x:v>
      </x:c>
      <x:c r="C33" s="2" t="str">
        <x:v>P020</x:v>
      </x:c>
      <x:c r="D33" s="2" t="str">
        <x:v>WO-0921-10-01</x:v>
      </x:c>
      <x:c r="E33" s="2" t="n">
        <x:v>180</x:v>
      </x:c>
      <x:c r="F33" s="11" t="n">
        <x:v>0.08</x:v>
      </x:c>
      <x:c r="G33" s="11" t="n">
        <x:f>IF(F33="","",E33*F33)</x:f>
        <x:v>14.4</x:v>
      </x:c>
      <x:c r="H33" s="12" t="n">
        <x:f>IF(OR(G33="",'线体日汇总'!H15="",'线体日汇总'!H15=0),"",G33/'线体日汇总'!H15)</x:f>
        <x:v>0.15</x:v>
      </x:c>
      <x:c r="I33" s="11" t="n">
        <x:f>IF(OR(H33="",'线体日汇总'!G15=""),"",H33*'线体日汇总'!G15)</x:f>
        <x:v>13.680005</x:v>
      </x:c>
      <x:c r="J33" s="12" t="n">
        <x:f>IF(OR(G33="",G33=0,I33=""),"",(I33-G33)/G33)</x:f>
        <x:v>-0.049999652777777834</x:v>
      </x:c>
      <x:c r="K33" s="2" t="n">
        <x:v>950</x:v>
      </x:c>
      <x:c r="L33" s="2" t="n">
        <x:v>12</x:v>
      </x:c>
      <x:c r="M33" s="12" t="n">
        <x:f>IF(OR(K33="",K33=0),"",L33/K33)</x:f>
        <x:v>0.01263157894736842</x:v>
      </x:c>
      <x:c r="N33" s="13" t="str">
        <x:v>正常</x:v>
      </x:c>
      <x:c r="O33" s="2" t="str">
        <x:v>PP-0921</x:v>
      </x:c>
    </x:row>
    <x:row r="34" ht="36" customHeight="1">
      <x:c r="A34" s="10" t="d">
        <x:v>2026-09-21T00:00:00.000Z</x:v>
      </x:c>
      <x:c r="B34" s="2" t="str">
        <x:v>D10</x:v>
      </x:c>
      <x:c r="C34" s="2" t="str">
        <x:v>P021</x:v>
      </x:c>
      <x:c r="D34" s="2" t="str">
        <x:v>WO-0921-10-02</x:v>
      </x:c>
      <x:c r="E34" s="2" t="n">
        <x:v>360</x:v>
      </x:c>
      <x:c r="F34" s="11" t="n">
        <x:v>0.1</x:v>
      </x:c>
      <x:c r="G34" s="11" t="n">
        <x:f>IF(F34="","",E34*F34)</x:f>
        <x:v>36</x:v>
      </x:c>
      <x:c r="H34" s="12" t="n">
        <x:f>IF(OR(G34="",'线体日汇总'!H15="",'线体日汇总'!H15=0),"",G34/'线体日汇总'!H15)</x:f>
        <x:v>0.375</x:v>
      </x:c>
      <x:c r="I34" s="11" t="n">
        <x:f>IF(OR(H34="",'线体日汇总'!G15=""),"",H34*'线体日汇总'!G15)</x:f>
        <x:v>34.2000125</x:v>
      </x:c>
      <x:c r="J34" s="12" t="n">
        <x:f>IF(OR(G34="",G34=0,I34=""),"",(I34-G34)/G34)</x:f>
        <x:v>-0.049999652777777785</x:v>
      </x:c>
      <x:c r="K34" s="2" t="n">
        <x:v>820</x:v>
      </x:c>
      <x:c r="L34" s="2" t="n">
        <x:v>5</x:v>
      </x:c>
      <x:c r="M34" s="12" t="n">
        <x:f>IF(OR(K34="",K34=0),"",L34/K34)</x:f>
        <x:v>0.006097560975609756</x:v>
      </x:c>
      <x:c r="N34" s="13" t="str">
        <x:v>正常</x:v>
      </x:c>
      <x:c r="O34" s="2" t="str">
        <x:v>PP-0921</x:v>
      </x:c>
    </x:row>
    <x:row r="35" ht="36" customHeight="1">
      <x:c r="A35" s="10" t="d">
        <x:v>2026-09-21T00:00:00.000Z</x:v>
      </x:c>
      <x:c r="B35" s="2" t="str">
        <x:v>D10</x:v>
      </x:c>
      <x:c r="C35" s="2" t="str">
        <x:v>P022</x:v>
      </x:c>
      <x:c r="D35" s="2" t="str">
        <x:v>WO-0921-10-03</x:v>
      </x:c>
      <x:c r="E35" s="2" t="n">
        <x:v>380</x:v>
      </x:c>
      <x:c r="F35" s="11" t="n">
        <x:v>0.11999999999999998</x:v>
      </x:c>
      <x:c r="G35" s="11" t="n">
        <x:f>IF(F35="","",E35*F35)</x:f>
        <x:v>45.599999999999994</x:v>
      </x:c>
      <x:c r="H35" s="12" t="n">
        <x:f>IF(OR(G35="",'线体日汇总'!H15="",'线体日汇总'!H15=0),"",G35/'线体日汇总'!H15)</x:f>
        <x:v>0.4749999999999999</x:v>
      </x:c>
      <x:c r="I35" s="11" t="n">
        <x:f>IF(OR(H35="",'线体日汇总'!G15=""),"",H35*'线体日汇总'!G15)</x:f>
        <x:v>43.32001583333333</x:v>
      </x:c>
      <x:c r="J35" s="12" t="n">
        <x:f>IF(OR(G35="",G35=0,I35=""),"",(I35-G35)/G35)</x:f>
        <x:v>-0.04999965277777775</x:v>
      </x:c>
      <x:c r="K35" s="2" t="n">
        <x:v>970</x:v>
      </x:c>
      <x:c r="L35" s="2" t="n">
        <x:v>9</x:v>
      </x:c>
      <x:c r="M35" s="12" t="n">
        <x:f>IF(OR(K35="",K35=0),"",L35/K35)</x:f>
        <x:v>0.009278350515463918</x:v>
      </x:c>
      <x:c r="N35" s="13" t="str">
        <x:v>正常</x:v>
      </x:c>
      <x:c r="O35" s="2" t="str">
        <x:v>PC-007</x:v>
      </x:c>
    </x:row>
    <x:row r="36" ht="36" customHeight="1">
      <x:c r="A36" s="10" t="d">
        <x:v>2026-09-21T00:00:00.000Z</x:v>
      </x:c>
      <x:c r="B36" s="2" t="str">
        <x:v>D11</x:v>
      </x:c>
      <x:c r="C36" s="2" t="str">
        <x:v>P022</x:v>
      </x:c>
      <x:c r="D36" s="2" t="str">
        <x:v>WO-0921-11-01</x:v>
      </x:c>
      <x:c r="E36" s="2" t="n">
        <x:v>140</x:v>
      </x:c>
      <x:c r="F36" s="11" t="n">
        <x:v>0.11999999999999998</x:v>
      </x:c>
      <x:c r="G36" s="11" t="n">
        <x:f>IF(F36="","",E36*F36)</x:f>
        <x:v>16.799999999999997</x:v>
      </x:c>
      <x:c r="H36" s="12" t="n">
        <x:f>IF(OR(G36="",'线体日汇总'!H16="",'线体日汇总'!H16=0),"",G36/'线体日汇总'!H16)</x:f>
        <x:v>0.20537897310513445</x:v>
      </x:c>
      <x:c r="I36" s="11" t="n">
        <x:f>IF(OR(H36="",'线体日汇总'!G16=""),"",H36*'线体日汇总'!G16)</x:f>
        <x:v>17.639999999999993</x:v>
      </x:c>
      <x:c r="J36" s="12" t="n">
        <x:f>IF(OR(G36="",G36=0,I36=""),"",(I36-G36)/G36)</x:f>
        <x:v>0.04999999999999979</x:v>
      </x:c>
      <x:c r="K36" s="2" t="n">
        <x:v>1360</x:v>
      </x:c>
      <x:c r="L36" s="2" t="n">
        <x:v>2</x:v>
      </x:c>
      <x:c r="M36" s="12" t="n">
        <x:f>IF(OR(K36="",K36=0),"",L36/K36)</x:f>
        <x:v>0.0014705882352941176</x:v>
      </x:c>
      <x:c r="N36" s="13" t="str">
        <x:v>正常</x:v>
      </x:c>
      <x:c r="O36" s="2" t="str">
        <x:v>PP-0921</x:v>
      </x:c>
    </x:row>
    <x:row r="37" ht="36" customHeight="1">
      <x:c r="A37" s="10" t="d">
        <x:v>2026-09-21T00:00:00.000Z</x:v>
      </x:c>
      <x:c r="B37" s="2" t="str">
        <x:v>D11</x:v>
      </x:c>
      <x:c r="C37" s="2" t="str">
        <x:v>P023</x:v>
      </x:c>
      <x:c r="D37" s="2" t="str">
        <x:v>WO-0921-11-02</x:v>
      </x:c>
      <x:c r="E37" s="2" t="n">
        <x:v>220</x:v>
      </x:c>
      <x:c r="F37" s="11" t="n">
        <x:v>0.15</x:v>
      </x:c>
      <x:c r="G37" s="11" t="n">
        <x:f>IF(F37="","",E37*F37)</x:f>
        <x:v>33</x:v>
      </x:c>
      <x:c r="H37" s="12" t="n">
        <x:f>IF(OR(G37="",'线体日汇总'!H16="",'线体日汇总'!H16=0),"",G37/'线体日汇总'!H16)</x:f>
        <x:v>0.4034229828850856</x:v>
      </x:c>
      <x:c r="I37" s="11" t="n">
        <x:f>IF(OR(H37="",'线体日汇总'!G16=""),"",H37*'线体日汇总'!G16)</x:f>
        <x:v>34.65</x:v>
      </x:c>
      <x:c r="J37" s="12" t="n">
        <x:f>IF(OR(G37="",G37=0,I37=""),"",(I37-G37)/G37)</x:f>
        <x:v>0.049999999999999954</x:v>
      </x:c>
      <x:c r="K37" s="2" t="n">
        <x:v>1010</x:v>
      </x:c>
      <x:c r="L37" s="2" t="n">
        <x:v>7</x:v>
      </x:c>
      <x:c r="M37" s="12" t="n">
        <x:f>IF(OR(K37="",K37=0),"",L37/K37)</x:f>
        <x:v>0.006930693069306931</x:v>
      </x:c>
      <x:c r="N37" s="13" t="str">
        <x:v>正常</x:v>
      </x:c>
      <x:c r="O37" s="2" t="str">
        <x:v>PP-0921</x:v>
      </x:c>
    </x:row>
    <x:row r="38" ht="36" customHeight="1">
      <x:c r="A38" s="10" t="d">
        <x:v>2026-09-21T00:00:00.000Z</x:v>
      </x:c>
      <x:c r="B38" s="2" t="str">
        <x:v>D11</x:v>
      </x:c>
      <x:c r="C38" s="2" t="str">
        <x:v>P024</x:v>
      </x:c>
      <x:c r="D38" s="2" t="str">
        <x:v>WO-0921-11-03</x:v>
      </x:c>
      <x:c r="E38" s="2" t="n">
        <x:v>160</x:v>
      </x:c>
      <x:c r="F38" s="11" t="n">
        <x:v>0.2</x:v>
      </x:c>
      <x:c r="G38" s="11" t="n">
        <x:f>IF(F38="","",E38*F38)</x:f>
        <x:v>32</x:v>
      </x:c>
      <x:c r="H38" s="12" t="n">
        <x:f>IF(OR(G38="",'线体日汇总'!H16="",'线体日汇总'!H16=0),"",G38/'线体日汇总'!H16)</x:f>
        <x:v>0.39119804400978</x:v>
      </x:c>
      <x:c r="I38" s="11" t="n">
        <x:f>IF(OR(H38="",'线体日汇总'!G16=""),"",H38*'线体日汇总'!G16)</x:f>
        <x:v>33.599999999999994</x:v>
      </x:c>
      <x:c r="J38" s="12" t="n">
        <x:f>IF(OR(G38="",G38=0,I38=""),"",(I38-G38)/G38)</x:f>
        <x:v>0.04999999999999982</x:v>
      </x:c>
      <x:c r="K38" s="2" t="n">
        <x:v>990</x:v>
      </x:c>
      <x:c r="L38" s="2" t="n">
        <x:v>10</x:v>
      </x:c>
      <x:c r="M38" s="12" t="n">
        <x:f>IF(OR(K38="",K38=0),"",L38/K38)</x:f>
        <x:v>0.010101010101010102</x:v>
      </x:c>
      <x:c r="N38" s="13" t="str">
        <x:v>正常</x:v>
      </x:c>
      <x:c r="O38" s="2" t="str">
        <x:v>PP-0921</x:v>
      </x:c>
    </x:row>
    <x:row r="39" ht="36" customHeight="1">
      <x:c r="A39" s="10" t="d">
        <x:v>2026-09-21T00:00:00.000Z</x:v>
      </x:c>
      <x:c r="B39" s="2" t="str">
        <x:v>D12</x:v>
      </x:c>
      <x:c r="C39" s="2" t="str">
        <x:v>P024</x:v>
      </x:c>
      <x:c r="D39" s="2" t="str">
        <x:v>WO-0921-12-01</x:v>
      </x:c>
      <x:c r="E39" s="2" t="n">
        <x:v>240</x:v>
      </x:c>
      <x:c r="F39" s="11" t="n">
        <x:v>0.2</x:v>
      </x:c>
      <x:c r="G39" s="11" t="n">
        <x:f>IF(F39="","",E39*F39)</x:f>
        <x:v>48</x:v>
      </x:c>
      <x:c r="H39" s="12" t="n">
        <x:f>IF(OR(G39="",'线体日汇总'!H17="",'线体日汇总'!H17=0),"",G39/'线体日汇总'!H17)</x:f>
        <x:v>0.6417112299465241</x:v>
      </x:c>
      <x:c r="I39" s="11" t="n">
        <x:f>IF(OR(H39="",'线体日汇总'!G17=""),"",H39*'线体日汇总'!G17)</x:f>
        <x:v>55.20000000000001</x:v>
      </x:c>
      <x:c r="J39" s="12" t="n">
        <x:f>IF(OR(G39="",G39=0,I39=""),"",(I39-G39)/G39)</x:f>
        <x:v>0.15000000000000022</x:v>
      </x:c>
      <x:c r="K39" s="2" t="n">
        <x:v>1070</x:v>
      </x:c>
      <x:c r="L39" s="2" t="n">
        <x:v>15</x:v>
      </x:c>
      <x:c r="M39" s="12" t="n">
        <x:f>IF(OR(K39="",K39=0),"",L39/K39)</x:f>
        <x:v>0.014018691588785047</x:v>
      </x:c>
      <x:c r="N39" s="13" t="str">
        <x:v>加班占比异常</x:v>
      </x:c>
      <x:c r="O39" s="2" t="str">
        <x:v>PP-0921</x:v>
      </x:c>
    </x:row>
    <x:row r="40" ht="36" customHeight="1">
      <x:c r="A40" s="10" t="d">
        <x:v>2026-09-21T00:00:00.000Z</x:v>
      </x:c>
      <x:c r="B40" s="2" t="str">
        <x:v>D12</x:v>
      </x:c>
      <x:c r="C40" s="2" t="str">
        <x:v>P025</x:v>
      </x:c>
      <x:c r="D40" s="2" t="str">
        <x:v>WO-0921-12-02</x:v>
      </x:c>
      <x:c r="E40" s="2" t="n">
        <x:v>260</x:v>
      </x:c>
      <x:c r="F40" s="11" t="n">
        <x:v>0.06</x:v>
      </x:c>
      <x:c r="G40" s="11" t="n">
        <x:f>IF(F40="","",E40*F40)</x:f>
        <x:v>15.6</x:v>
      </x:c>
      <x:c r="H40" s="12" t="n">
        <x:f>IF(OR(G40="",'线体日汇总'!H17="",'线体日汇总'!H17=0),"",G40/'线体日汇总'!H17)</x:f>
        <x:v>0.20855614973262032</x:v>
      </x:c>
      <x:c r="I40" s="11" t="n">
        <x:f>IF(OR(H40="",'线体日汇总'!G17=""),"",H40*'线体日汇总'!G17)</x:f>
        <x:v>17.94</x:v>
      </x:c>
      <x:c r="J40" s="12" t="n">
        <x:f>IF(OR(G40="",G40=0,I40=""),"",(I40-G40)/G40)</x:f>
        <x:v>0.1500000000000001</x:v>
      </x:c>
      <x:c r="K40" s="2" t="n">
        <x:v>950</x:v>
      </x:c>
      <x:c r="L40" s="2" t="n">
        <x:v>4</x:v>
      </x:c>
      <x:c r="M40" s="12" t="n">
        <x:f>IF(OR(K40="",K40=0),"",L40/K40)</x:f>
        <x:v>0.004210526315789474</x:v>
      </x:c>
      <x:c r="N40" s="13" t="str">
        <x:v>加班占比异常</x:v>
      </x:c>
      <x:c r="O40" s="2" t="str">
        <x:v>PP-0921</x:v>
      </x:c>
    </x:row>
    <x:row r="41" ht="36" customHeight="1">
      <x:c r="A41" s="10" t="d">
        <x:v>2026-09-21T00:00:00.000Z</x:v>
      </x:c>
      <x:c r="B41" s="2" t="str">
        <x:v>D12</x:v>
      </x:c>
      <x:c r="C41" s="2" t="str">
        <x:v>P026</x:v>
      </x:c>
      <x:c r="D41" s="2" t="str">
        <x:v>WO-0921-12-03</x:v>
      </x:c>
      <x:c r="E41" s="2" t="n">
        <x:v>140</x:v>
      </x:c>
      <x:c r="F41" s="11" t="n">
        <x:v>0.08</x:v>
      </x:c>
      <x:c r="G41" s="11" t="n">
        <x:f>IF(F41="","",E41*F41)</x:f>
        <x:v>11.200000000000001</x:v>
      </x:c>
      <x:c r="H41" s="12" t="n">
        <x:f>IF(OR(G41="",'线体日汇总'!H17="",'线体日汇总'!H17=0),"",G41/'线体日汇总'!H17)</x:f>
        <x:v>0.14973262032085563</x:v>
      </x:c>
      <x:c r="I41" s="11" t="n">
        <x:f>IF(OR(H41="",'线体日汇总'!G17=""),"",H41*'线体日汇总'!G17)</x:f>
        <x:v>12.880000000000003</x:v>
      </x:c>
      <x:c r="J41" s="12" t="n">
        <x:f>IF(OR(G41="",G41=0,I41=""),"",(I41-G41)/G41)</x:f>
        <x:v>0.1500000000000001</x:v>
      </x:c>
      <x:c r="K41" s="2" t="n">
        <x:v>710</x:v>
      </x:c>
      <x:c r="L41" s="2" t="n">
        <x:v>13</x:v>
      </x:c>
      <x:c r="M41" s="12" t="n">
        <x:f>IF(OR(K41="",K41=0),"",L41/K41)</x:f>
        <x:v>0.018309859154929577</x:v>
      </x:c>
      <x:c r="N41" s="13" t="str">
        <x:v>加班占比异常</x:v>
      </x:c>
      <x:c r="O41" s="2" t="str">
        <x:v>PP-0921</x:v>
      </x:c>
    </x:row>
    <x:row r="42" ht="36" customHeight="1">
      <x:c r="A42" s="10" t="d">
        <x:v>2026-09-22T00:00:00.000Z</x:v>
      </x:c>
      <x:c r="B42" s="2" t="str">
        <x:v>D01</x:v>
      </x:c>
      <x:c r="C42" s="2" t="str">
        <x:v>P003</x:v>
      </x:c>
      <x:c r="D42" s="2" t="str">
        <x:v>WO-0922-01-01</x:v>
      </x:c>
      <x:c r="E42" s="2" t="n">
        <x:v>120</x:v>
      </x:c>
      <x:c r="F42" s="11" t="n">
        <x:v>0.1</x:v>
      </x:c>
      <x:c r="G42" s="11" t="n">
        <x:f>IF(F42="","",E42*F42)</x:f>
        <x:v>12</x:v>
      </x:c>
      <x:c r="H42" s="12" t="n">
        <x:f>IF(OR(G42="",'线体日汇总'!H18="",'线体日汇总'!H18=0),"",G42/'线体日汇总'!H18)</x:f>
        <x:v>0.14814814814814814</x:v>
      </x:c>
      <x:c r="I42" s="11" t="n">
        <x:f>IF(OR(H42="",'线体日汇总'!G18=""),"",H42*'线体日汇总'!G18)</x:f>
        <x:v>14.4</x:v>
      </x:c>
      <x:c r="J42" s="12" t="n">
        <x:f>IF(OR(G42="",G42=0,I42=""),"",(I42-G42)/G42)</x:f>
        <x:v>0.20000000000000004</x:v>
      </x:c>
      <x:c r="K42" s="2" t="n">
        <x:v>700</x:v>
      </x:c>
      <x:c r="L42" s="2" t="n">
        <x:v>12</x:v>
      </x:c>
      <x:c r="M42" s="12" t="n">
        <x:f>IF(OR(K42="",K42=0),"",L42/K42)</x:f>
        <x:v>0.017142857142857144</x:v>
      </x:c>
      <x:c r="N42" s="13" t="str">
        <x:v>正常</x:v>
      </x:c>
      <x:c r="O42" s="2" t="str">
        <x:v>PP-0922</x:v>
      </x:c>
    </x:row>
    <x:row r="43" ht="36" customHeight="1">
      <x:c r="A43" s="10" t="d">
        <x:v>2026-09-22T00:00:00.000Z</x:v>
      </x:c>
      <x:c r="B43" s="2" t="str">
        <x:v>D01</x:v>
      </x:c>
      <x:c r="C43" s="2" t="str">
        <x:v>P004</x:v>
      </x:c>
      <x:c r="D43" s="2" t="str">
        <x:v>WO-0922-01-02</x:v>
      </x:c>
      <x:c r="E43" s="2" t="n">
        <x:v>300</x:v>
      </x:c>
      <x:c r="F43" s="11" t="n">
        <x:v>0.11999999999999998</x:v>
      </x:c>
      <x:c r="G43" s="11" t="n">
        <x:f>IF(F43="","",E43*F43)</x:f>
        <x:v>35.99999999999999</x:v>
      </x:c>
      <x:c r="H43" s="12" t="n">
        <x:f>IF(OR(G43="",'线体日汇总'!H18="",'线体日汇总'!H18=0),"",G43/'线体日汇总'!H18)</x:f>
        <x:v>0.44444444444444436</x:v>
      </x:c>
      <x:c r="I43" s="11" t="n">
        <x:f>IF(OR(H43="",'线体日汇总'!G18=""),"",H43*'线体日汇总'!G18)</x:f>
        <x:v>43.199999999999996</x:v>
      </x:c>
      <x:c r="J43" s="12" t="n">
        <x:f>IF(OR(G43="",G43=0,I43=""),"",(I43-G43)/G43)</x:f>
        <x:v>0.20000000000000012</x:v>
      </x:c>
      <x:c r="K43" s="2" t="n">
        <x:v>850</x:v>
      </x:c>
      <x:c r="L43" s="2" t="n">
        <x:v>6</x:v>
      </x:c>
      <x:c r="M43" s="12" t="n">
        <x:f>IF(OR(K43="",K43=0),"",L43/K43)</x:f>
        <x:v>0.007058823529411765</x:v>
      </x:c>
      <x:c r="N43" s="13" t="str">
        <x:v>正常</x:v>
      </x:c>
      <x:c r="O43" s="2" t="str">
        <x:v>PP-0922</x:v>
      </x:c>
    </x:row>
    <x:row r="44" ht="36" customHeight="1">
      <x:c r="A44" s="10" t="d">
        <x:v>2026-09-22T00:00:00.000Z</x:v>
      </x:c>
      <x:c r="B44" s="2" t="str">
        <x:v>D01</x:v>
      </x:c>
      <x:c r="C44" s="2" t="str">
        <x:v>P005</x:v>
      </x:c>
      <x:c r="D44" s="2" t="str">
        <x:v>WO-0922-01-03</x:v>
      </x:c>
      <x:c r="E44" s="2" t="n">
        <x:v>220</x:v>
      </x:c>
      <x:c r="F44" s="11" t="n">
        <x:v>0.15</x:v>
      </x:c>
      <x:c r="G44" s="11" t="n">
        <x:f>IF(F44="","",E44*F44)</x:f>
        <x:v>33</x:v>
      </x:c>
      <x:c r="H44" s="12" t="n">
        <x:f>IF(OR(G44="",'线体日汇总'!H18="",'线体日汇总'!H18=0),"",G44/'线体日汇总'!H18)</x:f>
        <x:v>0.4074074074074074</x:v>
      </x:c>
      <x:c r="I44" s="11" t="n">
        <x:f>IF(OR(H44="",'线体日汇总'!G18=""),"",H44*'线体日汇总'!G18)</x:f>
        <x:v>39.6</x:v>
      </x:c>
      <x:c r="J44" s="12" t="n">
        <x:f>IF(OR(G44="",G44=0,I44=""),"",(I44-G44)/G44)</x:f>
        <x:v>0.20000000000000004</x:v>
      </x:c>
      <x:c r="K44" s="2" t="n">
        <x:v>1200</x:v>
      </x:c>
      <x:c r="L44" s="2" t="n">
        <x:v>8</x:v>
      </x:c>
      <x:c r="M44" s="12" t="n">
        <x:f>IF(OR(K44="",K44=0),"",L44/K44)</x:f>
        <x:v>0.006666666666666667</x:v>
      </x:c>
      <x:c r="N44" s="13" t="str">
        <x:v>正常</x:v>
      </x:c>
      <x:c r="O44" s="2" t="str">
        <x:v>PP-0922</x:v>
      </x:c>
    </x:row>
    <x:row r="45" ht="36" customHeight="1">
      <x:c r="A45" s="10" t="d">
        <x:v>2026-09-22T00:00:00.000Z</x:v>
      </x:c>
      <x:c r="B45" s="2" t="str">
        <x:v>D02</x:v>
      </x:c>
      <x:c r="C45" s="2" t="str">
        <x:v>P005</x:v>
      </x:c>
      <x:c r="D45" s="2" t="str">
        <x:v>WO-0922-02-01</x:v>
      </x:c>
      <x:c r="E45" s="2" t="n">
        <x:v>220</x:v>
      </x:c>
      <x:c r="F45" s="11" t="n">
        <x:v>0.15</x:v>
      </x:c>
      <x:c r="G45" s="11" t="n">
        <x:f>IF(F45="","",E45*F45)</x:f>
        <x:v>33</x:v>
      </x:c>
      <x:c r="H45" s="12" t="n">
        <x:f>IF(OR(G45="",'线体日汇总'!H19="",'线体日汇总'!H19=0),"",G45/'线体日汇总'!H19)</x:f>
        <x:v>0.3388090349075975</x:v>
      </x:c>
      <x:c r="I45" s="11" t="n">
        <x:f>IF(OR(H45="",'线体日汇总'!G19=""),"",H45*'线体日汇总'!G19)</x:f>
        <x:v>26.399999999999995</x:v>
      </x:c>
      <x:c r="J45" s="12" t="n">
        <x:f>IF(OR(G45="",G45=0,I45=""),"",(I45-G45)/G45)</x:f>
        <x:v>-0.20000000000000015</x:v>
      </x:c>
      <x:c r="K45" s="2" t="n">
        <x:v>860</x:v>
      </x:c>
      <x:c r="L45" s="2" t="n">
        <x:v>7</x:v>
      </x:c>
      <x:c r="M45" s="12" t="n">
        <x:f>IF(OR(K45="",K45=0),"",L45/K45)</x:f>
        <x:v>0.00813953488372093</x:v>
      </x:c>
      <x:c r="N45" s="13" t="str">
        <x:v>正常</x:v>
      </x:c>
      <x:c r="O45" s="2" t="str">
        <x:v>PP-0922</x:v>
      </x:c>
    </x:row>
    <x:row r="46" ht="36" customHeight="1">
      <x:c r="A46" s="10" t="d">
        <x:v>2026-09-22T00:00:00.000Z</x:v>
      </x:c>
      <x:c r="B46" s="2" t="str">
        <x:v>D02</x:v>
      </x:c>
      <x:c r="C46" s="2" t="str">
        <x:v>P006</x:v>
      </x:c>
      <x:c r="D46" s="2" t="str">
        <x:v>WO-0922-02-02</x:v>
      </x:c>
      <x:c r="E46" s="2" t="n">
        <x:v>220</x:v>
      </x:c>
      <x:c r="F46" s="11" t="n">
        <x:v>0.2</x:v>
      </x:c>
      <x:c r="G46" s="11" t="n">
        <x:f>IF(F46="","",E46*F46)</x:f>
        <x:v>44</x:v>
      </x:c>
      <x:c r="H46" s="12" t="n">
        <x:f>IF(OR(G46="",'线体日汇总'!H19="",'线体日汇总'!H19=0),"",G46/'线体日汇总'!H19)</x:f>
        <x:v>0.4517453798767967</x:v>
      </x:c>
      <x:c r="I46" s="11" t="n">
        <x:f>IF(OR(H46="",'线体日汇总'!G19=""),"",H46*'线体日汇总'!G19)</x:f>
        <x:v>35.199999999999996</x:v>
      </x:c>
      <x:c r="J46" s="12" t="n">
        <x:f>IF(OR(G46="",G46=0,I46=""),"",(I46-G46)/G46)</x:f>
        <x:v>-0.2000000000000001</x:v>
      </x:c>
      <x:c r="K46" s="2" t="n">
        <x:v>870</x:v>
      </x:c>
      <x:c r="L46" s="2" t="n">
        <x:v>21</x:v>
      </x:c>
      <x:c r="M46" s="12" t="n">
        <x:f>IF(OR(K46="",K46=0),"",L46/K46)</x:f>
        <x:v>0.02413793103448276</x:v>
      </x:c>
      <x:c r="N46" s="13" t="str">
        <x:v>正常</x:v>
      </x:c>
      <x:c r="O46" s="2" t="str">
        <x:v>PP-0922</x:v>
      </x:c>
    </x:row>
    <x:row r="47" ht="36" customHeight="1">
      <x:c r="A47" s="10" t="d">
        <x:v>2026-09-22T00:00:00.000Z</x:v>
      </x:c>
      <x:c r="B47" s="2" t="str">
        <x:v>D02</x:v>
      </x:c>
      <x:c r="C47" s="2" t="str">
        <x:v>P007</x:v>
      </x:c>
      <x:c r="D47" s="2" t="str">
        <x:v>WO-0922-02-03</x:v>
      </x:c>
      <x:c r="E47" s="2" t="n">
        <x:v>340</x:v>
      </x:c>
      <x:c r="F47" s="11" t="n">
        <x:v>0.06</x:v>
      </x:c>
      <x:c r="G47" s="11" t="n">
        <x:f>IF(F47="","",E47*F47)</x:f>
        <x:v>20.4</x:v>
      </x:c>
      <x:c r="H47" s="12" t="n">
        <x:f>IF(OR(G47="",'线体日汇总'!H19="",'线体日汇总'!H19=0),"",G47/'线体日汇总'!H19)</x:f>
        <x:v>0.20944558521560572</x:v>
      </x:c>
      <x:c r="I47" s="11" t="n">
        <x:f>IF(OR(H47="",'线体日汇总'!G19=""),"",H47*'线体日汇总'!G19)</x:f>
        <x:v>16.319999999999993</x:v>
      </x:c>
      <x:c r="J47" s="12" t="n">
        <x:f>IF(OR(G47="",G47=0,I47=""),"",(I47-G47)/G47)</x:f>
        <x:v>-0.2000000000000003</x:v>
      </x:c>
      <x:c r="K47" s="2" t="n">
        <x:v>1250</x:v>
      </x:c>
      <x:c r="L47" s="2" t="n">
        <x:v>9</x:v>
      </x:c>
      <x:c r="M47" s="12" t="n">
        <x:f>IF(OR(K47="",K47=0),"",L47/K47)</x:f>
        <x:v>0.0072</x:v>
      </x:c>
      <x:c r="N47" s="13" t="str">
        <x:v>正常</x:v>
      </x:c>
      <x:c r="O47" s="2" t="str">
        <x:v>PP-0922</x:v>
      </x:c>
    </x:row>
    <x:row r="48" ht="36" customHeight="1">
      <x:c r="A48" s="10" t="d">
        <x:v>2026-09-22T00:00:00.000Z</x:v>
      </x:c>
      <x:c r="B48" s="2" t="str">
        <x:v>D03</x:v>
      </x:c>
      <x:c r="C48" s="2" t="str">
        <x:v>P007</x:v>
      </x:c>
      <x:c r="D48" s="2" t="str">
        <x:v>WO-0922-03-01</x:v>
      </x:c>
      <x:c r="E48" s="2" t="n">
        <x:v>240</x:v>
      </x:c>
      <x:c r="F48" s="11" t="n">
        <x:v>0.06</x:v>
      </x:c>
      <x:c r="G48" s="11" t="n">
        <x:f>IF(F48="","",E48*F48)</x:f>
        <x:v>14.399999999999999</x:v>
      </x:c>
      <x:c r="H48" s="12" t="n">
        <x:f>IF(OR(G48="",'线体日汇总'!H20="",'线体日汇总'!H20=0),"",G48/'线体日汇总'!H20)</x:f>
        <x:v>0.28346456692913385</x:v>
      </x:c>
      <x:c r="I48" s="11" t="n">
        <x:f>IF(OR(H48="",'线体日汇总'!G20=""),"",H48*'线体日汇总'!G20)</x:f>
        <x:v>23.039990551181102</x:v>
      </x:c>
      <x:c r="J48" s="12" t="n">
        <x:f>IF(OR(G48="",G48=0,I48=""),"",(I48-G48)/G48)</x:f>
        <x:v>0.5999993438320211</x:v>
      </x:c>
      <x:c r="K48" s="2" t="n">
        <x:v>1290</x:v>
      </x:c>
      <x:c r="L48" s="2" t="n">
        <x:v>12</x:v>
      </x:c>
      <x:c r="M48" s="12" t="n">
        <x:f>IF(OR(K48="",K48=0),"",L48/K48)</x:f>
        <x:v>0.009302325581395349</x:v>
      </x:c>
      <x:c r="N48" s="13" t="str">
        <x:v>排期偏差异常；加班占比异常</x:v>
      </x:c>
      <x:c r="O48" s="2" t="str">
        <x:v>PC-009</x:v>
      </x:c>
    </x:row>
    <x:row r="49" ht="36" customHeight="1">
      <x:c r="A49" s="10" t="d">
        <x:v>2026-09-22T00:00:00.000Z</x:v>
      </x:c>
      <x:c r="B49" s="2" t="str">
        <x:v>D03</x:v>
      </x:c>
      <x:c r="C49" s="2" t="str">
        <x:v>P008</x:v>
      </x:c>
      <x:c r="D49" s="2" t="str">
        <x:v>WO-0922-03-02</x:v>
      </x:c>
      <x:c r="E49" s="2" t="n">
        <x:v>180</x:v>
      </x:c>
      <x:c r="F49" s="11" t="n">
        <x:v>0.08</x:v>
      </x:c>
      <x:c r="G49" s="11" t="n">
        <x:f>IF(F49="","",E49*F49)</x:f>
        <x:v>14.4</x:v>
      </x:c>
      <x:c r="H49" s="12" t="n">
        <x:f>IF(OR(G49="",'线体日汇总'!H20="",'线体日汇总'!H20=0),"",G49/'线体日汇总'!H20)</x:f>
        <x:v>0.28346456692913385</x:v>
      </x:c>
      <x:c r="I49" s="11" t="n">
        <x:f>IF(OR(H49="",'线体日汇总'!G20=""),"",H49*'线体日汇总'!G20)</x:f>
        <x:v>23.039990551181102</x:v>
      </x:c>
      <x:c r="J49" s="12" t="n">
        <x:f>IF(OR(G49="",G49=0,I49=""),"",(I49-G49)/G49)</x:f>
        <x:v>0.5999993438320209</x:v>
      </x:c>
      <x:c r="K49" s="2" t="n">
        <x:v>990</x:v>
      </x:c>
      <x:c r="L49" s="2" t="n">
        <x:v>9</x:v>
      </x:c>
      <x:c r="M49" s="12" t="n">
        <x:f>IF(OR(K49="",K49=0),"",L49/K49)</x:f>
        <x:v>0.00909090909090909</x:v>
      </x:c>
      <x:c r="N49" s="13" t="str">
        <x:v>排期偏差异常；加班占比异常</x:v>
      </x:c>
      <x:c r="O49" s="2" t="str">
        <x:v>PP-0922</x:v>
      </x:c>
    </x:row>
    <x:row r="50" ht="36" customHeight="1">
      <x:c r="A50" s="10" t="d">
        <x:v>2026-09-22T00:00:00.000Z</x:v>
      </x:c>
      <x:c r="B50" s="2" t="str">
        <x:v>D03</x:v>
      </x:c>
      <x:c r="C50" s="2" t="str">
        <x:v>P009</x:v>
      </x:c>
      <x:c r="D50" s="2" t="str">
        <x:v>WO-0922-03-03</x:v>
      </x:c>
      <x:c r="E50" s="2" t="n">
        <x:v>220</x:v>
      </x:c>
      <x:c r="F50" s="11" t="n">
        <x:v>0.1</x:v>
      </x:c>
      <x:c r="G50" s="11" t="n">
        <x:f>IF(F50="","",E50*F50)</x:f>
        <x:v>22</x:v>
      </x:c>
      <x:c r="H50" s="12" t="n">
        <x:f>IF(OR(G50="",'线体日汇总'!H20="",'线体日汇总'!H20=0),"",G50/'线体日汇总'!H20)</x:f>
        <x:v>0.4330708661417323</x:v>
      </x:c>
      <x:c r="I50" s="11" t="n">
        <x:f>IF(OR(H50="",'线体日汇总'!G20=""),"",H50*'线体日汇总'!G20)</x:f>
        <x:v>35.19998556430446</x:v>
      </x:c>
      <x:c r="J50" s="12" t="n">
        <x:f>IF(OR(G50="",G50=0,I50=""),"",(I50-G50)/G50)</x:f>
        <x:v>0.599999343832021</x:v>
      </x:c>
      <x:c r="K50" s="2" t="n">
        <x:v>890</x:v>
      </x:c>
      <x:c r="L50" s="2" t="n">
        <x:v>7</x:v>
      </x:c>
      <x:c r="M50" s="12" t="n">
        <x:f>IF(OR(K50="",K50=0),"",L50/K50)</x:f>
        <x:v>0.007865168539325843</x:v>
      </x:c>
      <x:c r="N50" s="13" t="str">
        <x:v>排期偏差异常；加班占比异常</x:v>
      </x:c>
      <x:c r="O50" s="2" t="str">
        <x:v>PP-0922</x:v>
      </x:c>
    </x:row>
    <x:row r="51" ht="36" customHeight="1">
      <x:c r="A51" s="10" t="d">
        <x:v>2026-09-22T00:00:00.000Z</x:v>
      </x:c>
      <x:c r="B51" s="2" t="str">
        <x:v>D04</x:v>
      </x:c>
      <x:c r="C51" s="2" t="str">
        <x:v>P009</x:v>
      </x:c>
      <x:c r="D51" s="2" t="str">
        <x:v>WO-0922-04-01</x:v>
      </x:c>
      <x:c r="E51" s="2" t="n">
        <x:v>120</x:v>
      </x:c>
      <x:c r="F51" s="11" t="n">
        <x:v>0.1</x:v>
      </x:c>
      <x:c r="G51" s="11" t="n">
        <x:f>IF(F51="","",E51*F51)</x:f>
        <x:v>12</x:v>
      </x:c>
      <x:c r="H51" s="12" t="n">
        <x:f>IF(OR(G51="",'线体日汇总'!H21="",'线体日汇总'!H21=0),"",G51/'线体日汇总'!H21)</x:f>
        <x:v>0.15873015873015875</x:v>
      </x:c>
      <x:c r="I51" s="11" t="n">
        <x:f>IF(OR(H51="",'线体日汇总'!G21=""),"",H51*'线体日汇总'!G21)</x:f>
        <x:v>8.39999470899471</x:v>
      </x:c>
      <x:c r="J51" s="12" t="n">
        <x:f>IF(OR(G51="",G51=0,I51=""),"",(I51-G51)/G51)</x:f>
        <x:v>-0.30000044091710754</x:v>
      </x:c>
      <x:c r="K51" s="2" t="n">
        <x:v>1770</x:v>
      </x:c>
      <x:c r="L51" s="2" t="n">
        <x:v>7</x:v>
      </x:c>
      <x:c r="M51" s="12" t="n">
        <x:f>IF(OR(K51="",K51=0),"",L51/K51)</x:f>
        <x:v>0.0039548022598870055</x:v>
      </x:c>
      <x:c r="N51" s="13" t="str">
        <x:v>排期偏差异常</x:v>
      </x:c>
      <x:c r="O51" s="2" t="str">
        <x:v>PP-0922</x:v>
      </x:c>
    </x:row>
    <x:row r="52" ht="36" customHeight="1">
      <x:c r="A52" s="10" t="d">
        <x:v>2026-09-22T00:00:00.000Z</x:v>
      </x:c>
      <x:c r="B52" s="2" t="str">
        <x:v>D04</x:v>
      </x:c>
      <x:c r="C52" s="2" t="str">
        <x:v>P010</x:v>
      </x:c>
      <x:c r="D52" s="2" t="str">
        <x:v>WO-0922-04-02</x:v>
      </x:c>
      <x:c r="E52" s="2" t="n">
        <x:v>180</x:v>
      </x:c>
      <x:c r="F52" s="11" t="n">
        <x:v>0.11999999999999998</x:v>
      </x:c>
      <x:c r="G52" s="11" t="n">
        <x:f>IF(F52="","",E52*F52)</x:f>
        <x:v>21.599999999999998</x:v>
      </x:c>
      <x:c r="H52" s="12" t="n">
        <x:f>IF(OR(G52="",'线体日汇总'!H21="",'线体日汇总'!H21=0),"",G52/'线体日汇总'!H21)</x:f>
        <x:v>0.2857142857142857</x:v>
      </x:c>
      <x:c r="I52" s="11" t="n">
        <x:f>IF(OR(H52="",'线体日汇总'!G21=""),"",H52*'线体日汇总'!G21)</x:f>
        <x:v>15.119990476190473</x:v>
      </x:c>
      <x:c r="J52" s="12" t="n">
        <x:f>IF(OR(G52="",G52=0,I52=""),"",(I52-G52)/G52)</x:f>
        <x:v>-0.30000044091710765</x:v>
      </x:c>
      <x:c r="K52" s="2"/>
      <x:c r="L52" s="2"/>
      <x:c r="M52" s="12" t="str">
        <x:f>IF(OR(K52="",K52=0),"",L52/K52)</x:f>
      </x:c>
      <x:c r="N52" s="13" t="str">
        <x:v>排期偏差异常；质检记录缺失</x:v>
      </x:c>
      <x:c r="O52" s="2" t="str">
        <x:v>PP-0922</x:v>
      </x:c>
    </x:row>
    <x:row r="53" ht="36" customHeight="1">
      <x:c r="A53" s="10" t="d">
        <x:v>2026-09-22T00:00:00.000Z</x:v>
      </x:c>
      <x:c r="B53" s="2" t="str">
        <x:v>D04</x:v>
      </x:c>
      <x:c r="C53" s="2" t="str">
        <x:v>P011</x:v>
      </x:c>
      <x:c r="D53" s="2" t="str">
        <x:v>WO-0922-04-03</x:v>
      </x:c>
      <x:c r="E53" s="2" t="n">
        <x:v>280</x:v>
      </x:c>
      <x:c r="F53" s="11" t="n">
        <x:v>0.15</x:v>
      </x:c>
      <x:c r="G53" s="11" t="n">
        <x:f>IF(F53="","",E53*F53)</x:f>
        <x:v>42</x:v>
      </x:c>
      <x:c r="H53" s="12" t="n">
        <x:f>IF(OR(G53="",'线体日汇总'!H21="",'线体日汇总'!H21=0),"",G53/'线体日汇总'!H21)</x:f>
        <x:v>0.5555555555555556</x:v>
      </x:c>
      <x:c r="I53" s="11" t="n">
        <x:f>IF(OR(H53="",'线体日汇总'!G21=""),"",H53*'线体日汇总'!G21)</x:f>
        <x:v>29.39998148148148</x:v>
      </x:c>
      <x:c r="J53" s="12" t="n">
        <x:f>IF(OR(G53="",G53=0,I53=""),"",(I53-G53)/G53)</x:f>
        <x:v>-0.30000044091710765</x:v>
      </x:c>
      <x:c r="K53" s="2" t="n">
        <x:v>780</x:v>
      </x:c>
      <x:c r="L53" s="2" t="n">
        <x:v>8</x:v>
      </x:c>
      <x:c r="M53" s="12" t="n">
        <x:f>IF(OR(K53="",K53=0),"",L53/K53)</x:f>
        <x:v>0.010256410256410256</x:v>
      </x:c>
      <x:c r="N53" s="13" t="str">
        <x:v>排期偏差异常</x:v>
      </x:c>
      <x:c r="O53" s="2" t="str">
        <x:v>PP-0922</x:v>
      </x:c>
    </x:row>
    <x:row r="54" ht="36" customHeight="1">
      <x:c r="A54" s="10" t="d">
        <x:v>2026-09-22T00:00:00.000Z</x:v>
      </x:c>
      <x:c r="B54" s="2" t="str">
        <x:v>D05</x:v>
      </x:c>
      <x:c r="C54" s="2" t="str">
        <x:v>P011</x:v>
      </x:c>
      <x:c r="D54" s="2" t="str">
        <x:v>WO-0922-05-01</x:v>
      </x:c>
      <x:c r="E54" s="2" t="n">
        <x:v>240</x:v>
      </x:c>
      <x:c r="F54" s="11" t="n">
        <x:v>0.15</x:v>
      </x:c>
      <x:c r="G54" s="11" t="n">
        <x:f>IF(F54="","",E54*F54)</x:f>
        <x:v>36</x:v>
      </x:c>
      <x:c r="H54" s="12" t="n">
        <x:f>IF(OR(G54="",'线体日汇总'!H22="",'线体日汇总'!H22=0),"",G54/'线体日汇总'!H22)</x:f>
        <x:v>0.3237410071942446</x:v>
      </x:c>
      <x:c r="I54" s="11" t="n">
        <x:f>IF(OR(H54="",'线体日汇总'!G22=""),"",H54*'线体日汇总'!G22)</x:f>
        <x:v>34.19998920863309</x:v>
      </x:c>
      <x:c r="J54" s="12" t="n">
        <x:f>IF(OR(G54="",G54=0,I54=""),"",(I54-G54)/G54)</x:f>
        <x:v>-0.0500002997601919</x:v>
      </x:c>
      <x:c r="K54" s="2" t="n">
        <x:v>1600</x:v>
      </x:c>
      <x:c r="L54" s="2" t="n">
        <x:v>7</x:v>
      </x:c>
      <x:c r="M54" s="12" t="n">
        <x:f>IF(OR(K54="",K54=0),"",L54/K54)</x:f>
        <x:v>0.004375</x:v>
      </x:c>
      <x:c r="N54" s="13" t="str">
        <x:v>正常</x:v>
      </x:c>
      <x:c r="O54" s="2" t="str">
        <x:v>PP-0922</x:v>
      </x:c>
    </x:row>
    <x:row r="55" ht="36" customHeight="1">
      <x:c r="A55" s="10" t="d">
        <x:v>2026-09-22T00:00:00.000Z</x:v>
      </x:c>
      <x:c r="B55" s="2" t="str">
        <x:v>D05</x:v>
      </x:c>
      <x:c r="C55" s="2" t="str">
        <x:v>P012</x:v>
      </x:c>
      <x:c r="D55" s="2" t="str">
        <x:v>WO-0922-05-02</x:v>
      </x:c>
      <x:c r="E55" s="2" t="n">
        <x:v>280</x:v>
      </x:c>
      <x:c r="F55" s="11" t="n">
        <x:v>0.2</x:v>
      </x:c>
      <x:c r="G55" s="11" t="n">
        <x:f>IF(F55="","",E55*F55)</x:f>
        <x:v>56</x:v>
      </x:c>
      <x:c r="H55" s="12" t="n">
        <x:f>IF(OR(G55="",'线体日汇总'!H22="",'线体日汇总'!H22=0),"",G55/'线体日汇总'!H22)</x:f>
        <x:v>0.5035971223021583</x:v>
      </x:c>
      <x:c r="I55" s="11" t="n">
        <x:f>IF(OR(H55="",'线体日汇总'!G22=""),"",H55*'线体日汇总'!G22)</x:f>
        <x:v>53.199983213429256</x:v>
      </x:c>
      <x:c r="J55" s="12" t="n">
        <x:f>IF(OR(G55="",G55=0,I55=""),"",(I55-G55)/G55)</x:f>
        <x:v>-0.05000029976019186</x:v>
      </x:c>
      <x:c r="K55" s="2" t="n">
        <x:v>760</x:v>
      </x:c>
      <x:c r="L55" s="2" t="n">
        <x:v>9</x:v>
      </x:c>
      <x:c r="M55" s="12" t="n">
        <x:f>IF(OR(K55="",K55=0),"",L55/K55)</x:f>
        <x:v>0.011842105263157895</x:v>
      </x:c>
      <x:c r="N55" s="13" t="str">
        <x:v>正常</x:v>
      </x:c>
      <x:c r="O55" s="2" t="str">
        <x:v>PP-0922</x:v>
      </x:c>
    </x:row>
    <x:row r="56" ht="36" customHeight="1">
      <x:c r="A56" s="10" t="d">
        <x:v>2026-09-22T00:00:00.000Z</x:v>
      </x:c>
      <x:c r="B56" s="2" t="str">
        <x:v>D05</x:v>
      </x:c>
      <x:c r="C56" s="2" t="str">
        <x:v>P013</x:v>
      </x:c>
      <x:c r="D56" s="2" t="str">
        <x:v>WO-0922-05-03</x:v>
      </x:c>
      <x:c r="E56" s="2" t="n">
        <x:v>320</x:v>
      </x:c>
      <x:c r="F56" s="11" t="n">
        <x:v>0.06</x:v>
      </x:c>
      <x:c r="G56" s="11" t="n">
        <x:f>IF(F56="","",E56*F56)</x:f>
        <x:v>19.2</x:v>
      </x:c>
      <x:c r="H56" s="12" t="n">
        <x:f>IF(OR(G56="",'线体日汇总'!H22="",'线体日汇总'!H22=0),"",G56/'线体日汇总'!H22)</x:f>
        <x:v>0.1726618705035971</x:v>
      </x:c>
      <x:c r="I56" s="11" t="n">
        <x:f>IF(OR(H56="",'线体日汇总'!G22=""),"",H56*'线体日汇总'!G22)</x:f>
        <x:v>18.239994244604315</x:v>
      </x:c>
      <x:c r="J56" s="12" t="n">
        <x:f>IF(OR(G56="",G56=0,I56=""),"",(I56-G56)/G56)</x:f>
        <x:v>-0.0500002997601919</x:v>
      </x:c>
      <x:c r="K56" s="2" t="n">
        <x:v>660</x:v>
      </x:c>
      <x:c r="L56" s="2" t="n">
        <x:v>11</x:v>
      </x:c>
      <x:c r="M56" s="12" t="n">
        <x:f>IF(OR(K56="",K56=0),"",L56/K56)</x:f>
        <x:v>0.016666666666666666</x:v>
      </x:c>
      <x:c r="N56" s="13" t="str">
        <x:v>正常</x:v>
      </x:c>
      <x:c r="O56" s="2" t="str">
        <x:v>PP-0922</x:v>
      </x:c>
    </x:row>
    <x:row r="57" ht="36" customHeight="1">
      <x:c r="A57" s="10" t="d">
        <x:v>2026-09-22T00:00:00.000Z</x:v>
      </x:c>
      <x:c r="B57" s="2" t="str">
        <x:v>D06</x:v>
      </x:c>
      <x:c r="C57" s="2" t="str">
        <x:v>P013</x:v>
      </x:c>
      <x:c r="D57" s="2" t="str">
        <x:v>WO-0922-06-01</x:v>
      </x:c>
      <x:c r="E57" s="2" t="n">
        <x:v>280</x:v>
      </x:c>
      <x:c r="F57" s="11" t="n">
        <x:v>0.06</x:v>
      </x:c>
      <x:c r="G57" s="11" t="n">
        <x:f>IF(F57="","",E57*F57)</x:f>
        <x:v>16.8</x:v>
      </x:c>
      <x:c r="H57" s="12" t="n">
        <x:f>IF(OR(G57="",'线体日汇总'!H23="",'线体日汇总'!H23=0),"",G57/'线体日汇总'!H23)</x:f>
        <x:v>0.24000000000000002</x:v>
      </x:c>
      <x:c r="I57" s="11" t="n">
        <x:f>IF(OR(H57="",'线体日汇总'!G23=""),"",H57*'线体日汇总'!G23)</x:f>
        <x:v>17.639992000000003</x:v>
      </x:c>
      <x:c r="J57" s="12" t="n">
        <x:f>IF(OR(G57="",G57=0,I57=""),"",(I57-G57)/G57)</x:f>
        <x:v>0.049999523809523945</x:v>
      </x:c>
      <x:c r="K57" s="2" t="n">
        <x:v>1310</x:v>
      </x:c>
      <x:c r="L57" s="2" t="n">
        <x:v>9</x:v>
      </x:c>
      <x:c r="M57" s="12" t="n">
        <x:f>IF(OR(K57="",K57=0),"",L57/K57)</x:f>
        <x:v>0.006870229007633588</x:v>
      </x:c>
      <x:c r="N57" s="13" t="str">
        <x:v>加班占比异常</x:v>
      </x:c>
      <x:c r="O57" s="2" t="str">
        <x:v>PP-0922</x:v>
      </x:c>
    </x:row>
    <x:row r="58" ht="36" customHeight="1">
      <x:c r="A58" s="10" t="d">
        <x:v>2026-09-22T00:00:00.000Z</x:v>
      </x:c>
      <x:c r="B58" s="2" t="str">
        <x:v>D06</x:v>
      </x:c>
      <x:c r="C58" s="2" t="str">
        <x:v>P014</x:v>
      </x:c>
      <x:c r="D58" s="2" t="str">
        <x:v>WO-0922-06-02</x:v>
      </x:c>
      <x:c r="E58" s="2" t="n">
        <x:v>240</x:v>
      </x:c>
      <x:c r="F58" s="11" t="n">
        <x:v>0.08</x:v>
      </x:c>
      <x:c r="G58" s="11" t="n">
        <x:f>IF(F58="","",E58*F58)</x:f>
        <x:v>19.2</x:v>
      </x:c>
      <x:c r="H58" s="12" t="n">
        <x:f>IF(OR(G58="",'线体日汇总'!H23="",'线体日汇总'!H23=0),"",G58/'线体日汇总'!H23)</x:f>
        <x:v>0.2742857142857143</x:v>
      </x:c>
      <x:c r="I58" s="11" t="n">
        <x:f>IF(OR(H58="",'线体日汇总'!G23=""),"",H58*'线体日汇总'!G23)</x:f>
        <x:v>20.159990857142862</x:v>
      </x:c>
      <x:c r="J58" s="12" t="n">
        <x:f>IF(OR(G58="",G58=0,I58=""),"",(I58-G58)/G58)</x:f>
        <x:v>0.049999523809524105</x:v>
      </x:c>
      <x:c r="K58" s="2" t="n">
        <x:v>1340</x:v>
      </x:c>
      <x:c r="L58" s="2" t="n">
        <x:v>9</x:v>
      </x:c>
      <x:c r="M58" s="12" t="n">
        <x:f>IF(OR(K58="",K58=0),"",L58/K58)</x:f>
        <x:v>0.006716417910447761</x:v>
      </x:c>
      <x:c r="N58" s="13" t="str">
        <x:v>加班占比异常</x:v>
      </x:c>
      <x:c r="O58" s="2" t="str">
        <x:v>PP-0922</x:v>
      </x:c>
    </x:row>
    <x:row r="59" ht="36" customHeight="1">
      <x:c r="A59" s="10" t="d">
        <x:v>2026-09-22T00:00:00.000Z</x:v>
      </x:c>
      <x:c r="B59" s="2" t="str">
        <x:v>D06</x:v>
      </x:c>
      <x:c r="C59" s="2" t="str">
        <x:v>P015</x:v>
      </x:c>
      <x:c r="D59" s="2" t="str">
        <x:v>WO-0922-06-03</x:v>
      </x:c>
      <x:c r="E59" s="2" t="n">
        <x:v>340</x:v>
      </x:c>
      <x:c r="F59" s="11" t="n">
        <x:v>0.1</x:v>
      </x:c>
      <x:c r="G59" s="11" t="n">
        <x:f>IF(F59="","",E59*F59)</x:f>
        <x:v>34</x:v>
      </x:c>
      <x:c r="H59" s="12" t="n">
        <x:f>IF(OR(G59="",'线体日汇总'!H23="",'线体日汇总'!H23=0),"",G59/'线体日汇总'!H23)</x:f>
        <x:v>0.4857142857142857</x:v>
      </x:c>
      <x:c r="I59" s="11" t="n">
        <x:f>IF(OR(H59="",'线体日汇总'!G23=""),"",H59*'线体日汇总'!G23)</x:f>
        <x:v>35.699983809523815</x:v>
      </x:c>
      <x:c r="J59" s="12" t="n">
        <x:f>IF(OR(G59="",G59=0,I59=""),"",(I59-G59)/G59)</x:f>
        <x:v>0.04999952380952396</x:v>
      </x:c>
      <x:c r="K59" s="2" t="n">
        <x:v>1070</x:v>
      </x:c>
      <x:c r="L59" s="2" t="n">
        <x:v>11</x:v>
      </x:c>
      <x:c r="M59" s="12" t="n">
        <x:f>IF(OR(K59="",K59=0),"",L59/K59)</x:f>
        <x:v>0.010280373831775701</x:v>
      </x:c>
      <x:c r="N59" s="13" t="str">
        <x:v>加班占比异常</x:v>
      </x:c>
      <x:c r="O59" s="2" t="str">
        <x:v>PP-0922</x:v>
      </x:c>
    </x:row>
    <x:row r="60" ht="36" customHeight="1">
      <x:c r="A60" s="10" t="d">
        <x:v>2026-09-22T00:00:00.000Z</x:v>
      </x:c>
      <x:c r="B60" s="2" t="str">
        <x:v>D07</x:v>
      </x:c>
      <x:c r="C60" s="2" t="str">
        <x:v>P015</x:v>
      </x:c>
      <x:c r="D60" s="2" t="str">
        <x:v>WO-0922-07-01</x:v>
      </x:c>
      <x:c r="E60" s="2" t="n">
        <x:v>120</x:v>
      </x:c>
      <x:c r="F60" s="11" t="n">
        <x:v>0.1</x:v>
      </x:c>
      <x:c r="G60" s="11" t="n">
        <x:f>IF(F60="","",E60*F60)</x:f>
        <x:v>12</x:v>
      </x:c>
      <x:c r="H60" s="12" t="n">
        <x:f>IF(OR(G60="",'线体日汇总'!H24="",'线体日汇总'!H24=0),"",G60/'线体日汇总'!H24)</x:f>
        <x:v>0.14814814814814814</x:v>
      </x:c>
      <x:c r="I60" s="11" t="n">
        <x:f>IF(OR(H60="",'线体日汇总'!G24=""),"",H60*'线体日汇总'!G24)</x:f>
        <x:v>13.800004938271604</x:v>
      </x:c>
      <x:c r="J60" s="12" t="n">
        <x:f>IF(OR(G60="",G60=0,I60=""),"",(I60-G60)/G60)</x:f>
        <x:v>0.15000041152263366</x:v>
      </x:c>
      <x:c r="K60" s="2" t="n">
        <x:v>1170</x:v>
      </x:c>
      <x:c r="L60" s="2" t="n">
        <x:v>12</x:v>
      </x:c>
      <x:c r="M60" s="12" t="n">
        <x:f>IF(OR(K60="",K60=0),"",L60/K60)</x:f>
        <x:v>0.010256410256410256</x:v>
      </x:c>
      <x:c r="N60" s="13" t="str">
        <x:v>正常</x:v>
      </x:c>
      <x:c r="O60" s="2" t="str">
        <x:v>PP-0922</x:v>
      </x:c>
    </x:row>
    <x:row r="61" ht="36" customHeight="1">
      <x:c r="A61" s="10" t="d">
        <x:v>2026-09-22T00:00:00.000Z</x:v>
      </x:c>
      <x:c r="B61" s="2" t="str">
        <x:v>D07</x:v>
      </x:c>
      <x:c r="C61" s="2" t="str">
        <x:v>P016</x:v>
      </x:c>
      <x:c r="D61" s="2" t="str">
        <x:v>WO-0922-07-02</x:v>
      </x:c>
      <x:c r="E61" s="2" t="n">
        <x:v>400</x:v>
      </x:c>
      <x:c r="F61" s="11" t="n">
        <x:v>0.11999999999999998</x:v>
      </x:c>
      <x:c r="G61" s="11" t="n">
        <x:f>IF(F61="","",E61*F61)</x:f>
        <x:v>47.99999999999999</x:v>
      </x:c>
      <x:c r="H61" s="12" t="n">
        <x:f>IF(OR(G61="",'线体日汇总'!H24="",'线体日汇总'!H24=0),"",G61/'线体日汇总'!H24)</x:f>
        <x:v>0.5925925925925926</x:v>
      </x:c>
      <x:c r="I61" s="11" t="n">
        <x:f>IF(OR(H61="",'线体日汇总'!G24=""),"",H61*'线体日汇总'!G24)</x:f>
        <x:v>55.200019753086416</x:v>
      </x:c>
      <x:c r="J61" s="12" t="n">
        <x:f>IF(OR(G61="",G61=0,I61=""),"",(I61-G61)/G61)</x:f>
        <x:v>0.15000041152263383</x:v>
      </x:c>
      <x:c r="K61" s="2" t="n">
        <x:v>1580</x:v>
      </x:c>
      <x:c r="L61" s="2" t="n">
        <x:v>11</x:v>
      </x:c>
      <x:c r="M61" s="12" t="n">
        <x:f>IF(OR(K61="",K61=0),"",L61/K61)</x:f>
        <x:v>0.006962025316455696</x:v>
      </x:c>
      <x:c r="N61" s="13" t="str">
        <x:v>正常</x:v>
      </x:c>
      <x:c r="O61" s="2" t="str">
        <x:v>PC-011</x:v>
      </x:c>
    </x:row>
    <x:row r="62" ht="36" customHeight="1">
      <x:c r="A62" s="10" t="d">
        <x:v>2026-09-22T00:00:00.000Z</x:v>
      </x:c>
      <x:c r="B62" s="2" t="str">
        <x:v>D07</x:v>
      </x:c>
      <x:c r="C62" s="2" t="str">
        <x:v>P017</x:v>
      </x:c>
      <x:c r="D62" s="2" t="str">
        <x:v>WO-0922-07-03</x:v>
      </x:c>
      <x:c r="E62" s="2" t="n">
        <x:v>140</x:v>
      </x:c>
      <x:c r="F62" s="11" t="n">
        <x:v>0.15</x:v>
      </x:c>
      <x:c r="G62" s="11" t="n">
        <x:f>IF(F62="","",E62*F62)</x:f>
        <x:v>21</x:v>
      </x:c>
      <x:c r="H62" s="12" t="n">
        <x:f>IF(OR(G62="",'线体日汇总'!H24="",'线体日汇总'!H24=0),"",G62/'线体日汇总'!H24)</x:f>
        <x:v>0.25925925925925924</x:v>
      </x:c>
      <x:c r="I62" s="11" t="n">
        <x:f>IF(OR(H62="",'线体日汇总'!G24=""),"",H62*'线体日汇总'!G24)</x:f>
        <x:v>24.150008641975305</x:v>
      </x:c>
      <x:c r="J62" s="12" t="n">
        <x:f>IF(OR(G62="",G62=0,I62=""),"",(I62-G62)/G62)</x:f>
        <x:v>0.15000041152263355</x:v>
      </x:c>
      <x:c r="K62" s="2" t="n">
        <x:v>930</x:v>
      </x:c>
      <x:c r="L62" s="2" t="n">
        <x:v>9</x:v>
      </x:c>
      <x:c r="M62" s="12" t="n">
        <x:f>IF(OR(K62="",K62=0),"",L62/K62)</x:f>
        <x:v>0.00967741935483871</x:v>
      </x:c>
      <x:c r="N62" s="13" t="str">
        <x:v>正常</x:v>
      </x:c>
      <x:c r="O62" s="2" t="str">
        <x:v>PP-0922</x:v>
      </x:c>
    </x:row>
    <x:row r="63" ht="36" customHeight="1">
      <x:c r="A63" s="10" t="d">
        <x:v>2026-09-22T00:00:00.000Z</x:v>
      </x:c>
      <x:c r="B63" s="2" t="str">
        <x:v>D08</x:v>
      </x:c>
      <x:c r="C63" s="2" t="str">
        <x:v>P017</x:v>
      </x:c>
      <x:c r="D63" s="2" t="str">
        <x:v>WO-0922-08-01</x:v>
      </x:c>
      <x:c r="E63" s="2" t="n">
        <x:v>360</x:v>
      </x:c>
      <x:c r="F63" s="11" t="n">
        <x:v>0.15</x:v>
      </x:c>
      <x:c r="G63" s="11" t="n">
        <x:f>IF(F63="","",E63*F63)</x:f>
        <x:v>54</x:v>
      </x:c>
      <x:c r="H63" s="12" t="n">
        <x:f>IF(OR(G63="",'线体日汇总'!H25="",'线体日汇总'!H25=0),"",G63/'线体日汇总'!H25)</x:f>
        <x:v>0.52734375</x:v>
      </x:c>
      <x:c r="I63" s="11" t="n">
        <x:f>IF(OR(H63="",'线体日汇总'!G25=""),"",H63*'线体日汇总'!G25)</x:f>
        <x:v>64.800017578125</x:v>
      </x:c>
      <x:c r="J63" s="12" t="n">
        <x:f>IF(OR(G63="",G63=0,I63=""),"",(I63-G63)/G63)</x:f>
        <x:v>0.20000032552083322</x:v>
      </x:c>
      <x:c r="K63" s="2" t="n">
        <x:v>750</x:v>
      </x:c>
      <x:c r="L63" s="2" t="n">
        <x:v>13</x:v>
      </x:c>
      <x:c r="M63" s="12" t="n">
        <x:f>IF(OR(K63="",K63=0),"",L63/K63)</x:f>
        <x:v>0.017333333333333333</x:v>
      </x:c>
      <x:c r="N63" s="13" t="str">
        <x:v>排期偏差异常</x:v>
      </x:c>
      <x:c r="O63" s="2" t="str">
        <x:v>PP-0922</x:v>
      </x:c>
    </x:row>
    <x:row r="64" ht="36" customHeight="1">
      <x:c r="A64" s="10" t="d">
        <x:v>2026-09-22T00:00:00.000Z</x:v>
      </x:c>
      <x:c r="B64" s="2" t="str">
        <x:v>D08</x:v>
      </x:c>
      <x:c r="C64" s="2" t="str">
        <x:v>P018</x:v>
      </x:c>
      <x:c r="D64" s="2" t="str">
        <x:v>WO-0922-08-02R</x:v>
      </x:c>
      <x:c r="E64" s="2" t="n">
        <x:v>140</x:v>
      </x:c>
      <x:c r="F64" s="11" t="n">
        <x:v>0.2</x:v>
      </x:c>
      <x:c r="G64" s="11" t="n">
        <x:f>IF(F64="","",E64*F64)</x:f>
        <x:v>28</x:v>
      </x:c>
      <x:c r="H64" s="12" t="n">
        <x:f>IF(OR(G64="",'线体日汇总'!H25="",'线体日汇总'!H25=0),"",G64/'线体日汇总'!H25)</x:f>
        <x:v>0.2734375</x:v>
      </x:c>
      <x:c r="I64" s="11" t="n">
        <x:f>IF(OR(H64="",'线体日汇总'!G25=""),"",H64*'线体日汇总'!G25)</x:f>
        <x:v>33.60000911458333</x:v>
      </x:c>
      <x:c r="J64" s="12" t="n">
        <x:f>IF(OR(G64="",G64=0,I64=""),"",(I64-G64)/G64)</x:f>
        <x:v>0.2000003255208332</x:v>
      </x:c>
      <x:c r="K64" s="2" t="n">
        <x:v>760</x:v>
      </x:c>
      <x:c r="L64" s="2" t="n">
        <x:v>14</x:v>
      </x:c>
      <x:c r="M64" s="12" t="n">
        <x:f>IF(OR(K64="",K64=0),"",L64/K64)</x:f>
        <x:v>0.018421052631578946</x:v>
      </x:c>
      <x:c r="N64" s="13" t="str">
        <x:v>排期偏差异常</x:v>
      </x:c>
      <x:c r="O64" s="2" t="str">
        <x:v>PC-014</x:v>
      </x:c>
    </x:row>
    <x:row r="65" ht="36" customHeight="1">
      <x:c r="A65" s="10" t="d">
        <x:v>2026-09-22T00:00:00.000Z</x:v>
      </x:c>
      <x:c r="B65" s="2" t="str">
        <x:v>D08</x:v>
      </x:c>
      <x:c r="C65" s="2" t="str">
        <x:v>P019</x:v>
      </x:c>
      <x:c r="D65" s="2" t="str">
        <x:v>WO-0922-08-03</x:v>
      </x:c>
      <x:c r="E65" s="2" t="n">
        <x:v>340</x:v>
      </x:c>
      <x:c r="F65" s="11" t="n">
        <x:v>0.06</x:v>
      </x:c>
      <x:c r="G65" s="11" t="n">
        <x:f>IF(F65="","",E65*F65)</x:f>
        <x:v>20.4</x:v>
      </x:c>
      <x:c r="H65" s="12" t="n">
        <x:f>IF(OR(G65="",'线体日汇总'!H25="",'线体日汇总'!H25=0),"",G65/'线体日汇总'!H25)</x:f>
        <x:v>0.19921874999999997</x:v>
      </x:c>
      <x:c r="I65" s="11" t="n">
        <x:f>IF(OR(H65="",'线体日汇总'!G25=""),"",H65*'线体日汇总'!G25)</x:f>
        <x:v>24.480006640624993</x:v>
      </x:c>
      <x:c r="J65" s="12" t="n">
        <x:f>IF(OR(G65="",G65=0,I65=""),"",(I65-G65)/G65)</x:f>
        <x:v>0.20000032552083305</x:v>
      </x:c>
      <x:c r="K65" s="2" t="n">
        <x:v>780</x:v>
      </x:c>
      <x:c r="L65" s="2" t="n">
        <x:v>19</x:v>
      </x:c>
      <x:c r="M65" s="12" t="n">
        <x:f>IF(OR(K65="",K65=0),"",L65/K65)</x:f>
        <x:v>0.02435897435897436</x:v>
      </x:c>
      <x:c r="N65" s="13" t="str">
        <x:v>排期偏差异常</x:v>
      </x:c>
      <x:c r="O65" s="2" t="str">
        <x:v>PP-0922</x:v>
      </x:c>
    </x:row>
    <x:row r="66" ht="36" customHeight="1">
      <x:c r="A66" s="10" t="d">
        <x:v>2026-09-22T00:00:00.000Z</x:v>
      </x:c>
      <x:c r="B66" s="2" t="str">
        <x:v>D09</x:v>
      </x:c>
      <x:c r="C66" s="2" t="str">
        <x:v>P019</x:v>
      </x:c>
      <x:c r="D66" s="2" t="str">
        <x:v>WO-0922-09-01</x:v>
      </x:c>
      <x:c r="E66" s="2" t="n">
        <x:v>320</x:v>
      </x:c>
      <x:c r="F66" s="11" t="n">
        <x:v>0.06</x:v>
      </x:c>
      <x:c r="G66" s="11" t="n">
        <x:f>IF(F66="","",E66*F66)</x:f>
        <x:v>19.2</x:v>
      </x:c>
      <x:c r="H66" s="12" t="n">
        <x:f>IF(OR(G66="",'线体日汇总'!H26="",'线体日汇总'!H26=0),"",G66/'线体日汇总'!H26)</x:f>
        <x:v>0.3404255319148936</x:v>
      </x:c>
      <x:c r="I66" s="11" t="n">
        <x:f>IF(OR(H66="",'线体日汇总'!G26=""),"",H66*'线体日汇总'!G26)</x:f>
        <x:v>15.36001134751773</x:v>
      </x:c>
      <x:c r="J66" s="12" t="n">
        <x:f>IF(OR(G66="",G66=0,I66=""),"",(I66-G66)/G66)</x:f>
        <x:v>-0.19999940898345153</x:v>
      </x:c>
      <x:c r="K66" s="2" t="n">
        <x:v>1430</x:v>
      </x:c>
      <x:c r="L66" s="2" t="n">
        <x:v>5</x:v>
      </x:c>
      <x:c r="M66" s="12" t="n">
        <x:f>IF(OR(K66="",K66=0),"",L66/K66)</x:f>
        <x:v>0.0034965034965034965</x:v>
      </x:c>
      <x:c r="N66" s="13" t="str">
        <x:v>加班占比异常</x:v>
      </x:c>
      <x:c r="O66" s="2" t="str">
        <x:v>PP-0922</x:v>
      </x:c>
    </x:row>
    <x:row r="67" ht="36" customHeight="1">
      <x:c r="A67" s="10" t="d">
        <x:v>2026-09-22T00:00:00.000Z</x:v>
      </x:c>
      <x:c r="B67" s="2" t="str">
        <x:v>D09</x:v>
      </x:c>
      <x:c r="C67" s="2" t="str">
        <x:v>P020</x:v>
      </x:c>
      <x:c r="D67" s="2" t="str">
        <x:v>WO-0922-09-02</x:v>
      </x:c>
      <x:c r="E67" s="2" t="n">
        <x:v>140</x:v>
      </x:c>
      <x:c r="F67" s="11" t="n">
        <x:v>0.08</x:v>
      </x:c>
      <x:c r="G67" s="11" t="n">
        <x:f>IF(F67="","",E67*F67)</x:f>
        <x:v>11.200000000000001</x:v>
      </x:c>
      <x:c r="H67" s="12" t="n">
        <x:f>IF(OR(G67="",'线体日汇总'!H26="",'线体日汇总'!H26=0),"",G67/'线体日汇总'!H26)</x:f>
        <x:v>0.19858156028368798</x:v>
      </x:c>
      <x:c r="I67" s="11" t="n">
        <x:f>IF(OR(H67="",'线体日汇总'!G26=""),"",H67*'线体日汇总'!G26)</x:f>
        <x:v>8.960006619385345</x:v>
      </x:c>
      <x:c r="J67" s="12" t="n">
        <x:f>IF(OR(G67="",G67=0,I67=""),"",(I67-G67)/G67)</x:f>
        <x:v>-0.19999940898345145</x:v>
      </x:c>
      <x:c r="K67" s="2" t="n">
        <x:v>1060</x:v>
      </x:c>
      <x:c r="L67" s="2" t="n">
        <x:v>7</x:v>
      </x:c>
      <x:c r="M67" s="12" t="n">
        <x:f>IF(OR(K67="",K67=0),"",L67/K67)</x:f>
        <x:v>0.006603773584905661</x:v>
      </x:c>
      <x:c r="N67" s="13" t="str">
        <x:v>加班占比异常</x:v>
      </x:c>
      <x:c r="O67" s="2" t="str">
        <x:v>PP-0922</x:v>
      </x:c>
    </x:row>
    <x:row r="68" ht="36" customHeight="1">
      <x:c r="A68" s="10" t="d">
        <x:v>2026-09-22T00:00:00.000Z</x:v>
      </x:c>
      <x:c r="B68" s="2" t="str">
        <x:v>D09</x:v>
      </x:c>
      <x:c r="C68" s="2" t="str">
        <x:v>P021</x:v>
      </x:c>
      <x:c r="D68" s="2" t="str">
        <x:v>WO-0922-09-03</x:v>
      </x:c>
      <x:c r="E68" s="2" t="n">
        <x:v>260</x:v>
      </x:c>
      <x:c r="F68" s="11" t="n">
        <x:v>0.1</x:v>
      </x:c>
      <x:c r="G68" s="11" t="n">
        <x:f>IF(F68="","",E68*F68)</x:f>
        <x:v>26</x:v>
      </x:c>
      <x:c r="H68" s="12" t="n">
        <x:f>IF(OR(G68="",'线体日汇总'!H26="",'线体日汇总'!H26=0),"",G68/'线体日汇总'!H26)</x:f>
        <x:v>0.46099290780141844</x:v>
      </x:c>
      <x:c r="I68" s="11" t="n">
        <x:f>IF(OR(H68="",'线体日汇总'!G26=""),"",H68*'线体日汇总'!G26)</x:f>
        <x:v>20.80001536643026</x:v>
      </x:c>
      <x:c r="J68" s="12" t="n">
        <x:f>IF(OR(G68="",G68=0,I68=""),"",(I68-G68)/G68)</x:f>
        <x:v>-0.1999994089834516</x:v>
      </x:c>
      <x:c r="K68" s="2" t="n">
        <x:v>1240</x:v>
      </x:c>
      <x:c r="L68" s="2" t="n">
        <x:v>9</x:v>
      </x:c>
      <x:c r="M68" s="12" t="n">
        <x:f>IF(OR(K68="",K68=0),"",L68/K68)</x:f>
        <x:v>0.007258064516129033</x:v>
      </x:c>
      <x:c r="N68" s="13" t="str">
        <x:v>加班占比异常</x:v>
      </x:c>
      <x:c r="O68" s="2" t="str">
        <x:v>PP-0922</x:v>
      </x:c>
    </x:row>
    <x:row r="69" ht="36" customHeight="1">
      <x:c r="A69" s="10" t="d">
        <x:v>2026-09-22T00:00:00.000Z</x:v>
      </x:c>
      <x:c r="B69" s="2" t="str">
        <x:v>D10</x:v>
      </x:c>
      <x:c r="C69" s="2" t="str">
        <x:v>P021</x:v>
      </x:c>
      <x:c r="D69" s="2" t="str">
        <x:v>WO-0922-10-01</x:v>
      </x:c>
      <x:c r="E69" s="2" t="n">
        <x:v>340</x:v>
      </x:c>
      <x:c r="F69" s="11" t="n">
        <x:v>0.1</x:v>
      </x:c>
      <x:c r="G69" s="11" t="n">
        <x:f>IF(F69="","",E69*F69)</x:f>
        <x:v>34</x:v>
      </x:c>
      <x:c r="H69" s="12" t="n">
        <x:f>IF(OR(G69="",'线体日汇总'!H27="",'线体日汇总'!H27=0),"",G69/'线体日汇总'!H27)</x:f>
        <x:v>0.3711790393013101</x:v>
      </x:c>
      <x:c r="I69" s="11" t="n">
        <x:f>IF(OR(H69="",'线体日汇总'!G27=""),"",H69*'线体日汇总'!G27)</x:f>
        <x:v>45.90001237263464</x:v>
      </x:c>
      <x:c r="J69" s="12" t="n">
        <x:f>IF(OR(G69="",G69=0,I69=""),"",(I69-G69)/G69)</x:f>
        <x:v>0.35000036390101885</x:v>
      </x:c>
      <x:c r="K69" s="2" t="n">
        <x:v>1050</x:v>
      </x:c>
      <x:c r="L69" s="2" t="n">
        <x:v>5</x:v>
      </x:c>
      <x:c r="M69" s="12" t="n">
        <x:f>IF(OR(K69="",K69=0),"",L69/K69)</x:f>
        <x:v>0.004761904761904762</x:v>
      </x:c>
      <x:c r="N69" s="13" t="str">
        <x:v>排期偏差异常</x:v>
      </x:c>
      <x:c r="O69" s="2" t="str">
        <x:v>PP-0922</x:v>
      </x:c>
    </x:row>
    <x:row r="70" ht="36" customHeight="1">
      <x:c r="A70" s="10" t="d">
        <x:v>2026-09-22T00:00:00.000Z</x:v>
      </x:c>
      <x:c r="B70" s="2" t="str">
        <x:v>D10</x:v>
      </x:c>
      <x:c r="C70" s="2" t="str">
        <x:v>P022</x:v>
      </x:c>
      <x:c r="D70" s="2" t="str">
        <x:v>WO-0922-10-02</x:v>
      </x:c>
      <x:c r="E70" s="2" t="n">
        <x:v>280</x:v>
      </x:c>
      <x:c r="F70" s="11" t="n">
        <x:v>0.11999999999999998</x:v>
      </x:c>
      <x:c r="G70" s="11" t="n">
        <x:f>IF(F70="","",E70*F70)</x:f>
        <x:v>33.599999999999994</x:v>
      </x:c>
      <x:c r="H70" s="12" t="n">
        <x:f>IF(OR(G70="",'线体日汇总'!H27="",'线体日汇总'!H27=0),"",G70/'线体日汇总'!H27)</x:f>
        <x:v>0.3668122270742358</x:v>
      </x:c>
      <x:c r="I70" s="11" t="n">
        <x:f>IF(OR(H70="",'线体日汇总'!G27=""),"",H70*'线体日汇总'!G27)</x:f>
        <x:v>45.36001222707423</x:v>
      </x:c>
      <x:c r="J70" s="12" t="n">
        <x:f>IF(OR(G70="",G70=0,I70=""),"",(I70-G70)/G70)</x:f>
        <x:v>0.35000036390101896</x:v>
      </x:c>
      <x:c r="K70" s="2" t="n">
        <x:v>1450</x:v>
      </x:c>
      <x:c r="L70" s="2" t="n">
        <x:v>4</x:v>
      </x:c>
      <x:c r="M70" s="12" t="n">
        <x:f>IF(OR(K70="",K70=0),"",L70/K70)</x:f>
        <x:v>0.002758620689655172</x:v>
      </x:c>
      <x:c r="N70" s="13" t="str">
        <x:v>排期偏差异常</x:v>
      </x:c>
      <x:c r="O70" s="2" t="str">
        <x:v>PP-0922</x:v>
      </x:c>
    </x:row>
    <x:row r="71" ht="36" customHeight="1">
      <x:c r="A71" s="10" t="d">
        <x:v>2026-09-22T00:00:00.000Z</x:v>
      </x:c>
      <x:c r="B71" s="2" t="str">
        <x:v>D10</x:v>
      </x:c>
      <x:c r="C71" s="2" t="str">
        <x:v>P023</x:v>
      </x:c>
      <x:c r="D71" s="2" t="str">
        <x:v>WO-0922-10-03</x:v>
      </x:c>
      <x:c r="E71" s="2" t="n">
        <x:v>160</x:v>
      </x:c>
      <x:c r="F71" s="11" t="n">
        <x:v>0.15</x:v>
      </x:c>
      <x:c r="G71" s="11" t="n">
        <x:f>IF(F71="","",E71*F71)</x:f>
        <x:v>24</x:v>
      </x:c>
      <x:c r="H71" s="12" t="n">
        <x:f>IF(OR(G71="",'线体日汇总'!H27="",'线体日汇总'!H27=0),"",G71/'线体日汇总'!H27)</x:f>
        <x:v>0.26200873362445415</x:v>
      </x:c>
      <x:c r="I71" s="11" t="n">
        <x:f>IF(OR(H71="",'线体日汇总'!G27=""),"",H71*'线体日汇总'!G27)</x:f>
        <x:v>32.40000873362445</x:v>
      </x:c>
      <x:c r="J71" s="12" t="n">
        <x:f>IF(OR(G71="",G71=0,I71=""),"",(I71-G71)/G71)</x:f>
        <x:v>0.3500003639010189</x:v>
      </x:c>
      <x:c r="K71" s="2" t="n">
        <x:v>760</x:v>
      </x:c>
      <x:c r="L71" s="2" t="n">
        <x:v>9</x:v>
      </x:c>
      <x:c r="M71" s="12" t="n">
        <x:f>IF(OR(K71="",K71=0),"",L71/K71)</x:f>
        <x:v>0.011842105263157895</x:v>
      </x:c>
      <x:c r="N71" s="13" t="str">
        <x:v>排期偏差异常</x:v>
      </x:c>
      <x:c r="O71" s="2" t="str">
        <x:v>PP-0922</x:v>
      </x:c>
    </x:row>
    <x:row r="72" ht="36" customHeight="1">
      <x:c r="A72" s="10" t="d">
        <x:v>2026-09-22T00:00:00.000Z</x:v>
      </x:c>
      <x:c r="B72" s="2" t="str">
        <x:v>D11</x:v>
      </x:c>
      <x:c r="C72" s="2" t="str">
        <x:v>P023</x:v>
      </x:c>
      <x:c r="D72" s="2" t="str">
        <x:v>WO-0922-11-01</x:v>
      </x:c>
      <x:c r="E72" s="2" t="n">
        <x:v>280</x:v>
      </x:c>
      <x:c r="F72" s="11" t="n">
        <x:v>0.15</x:v>
      </x:c>
      <x:c r="G72" s="11" t="n">
        <x:f>IF(F72="","",E72*F72)</x:f>
        <x:v>42</x:v>
      </x:c>
      <x:c r="H72" s="12" t="n">
        <x:f>IF(OR(G72="",'线体日汇总'!H28="",'线体日汇总'!H28=0),"",G72/'线体日汇总'!H28)</x:f>
        <x:v>0.43388429752066116</x:v>
      </x:c>
      <x:c r="I72" s="11" t="n">
        <x:f>IF(OR(H72="",'线体日汇总'!G28=""),"",H72*'线体日汇总'!G28)</x:f>
        <x:v>29.399999999999995</x:v>
      </x:c>
      <x:c r="J72" s="12" t="n">
        <x:f>IF(OR(G72="",G72=0,I72=""),"",(I72-G72)/G72)</x:f>
        <x:v>-0.3000000000000001</x:v>
      </x:c>
      <x:c r="K72" s="2" t="n">
        <x:v>650</x:v>
      </x:c>
      <x:c r="L72" s="2" t="n">
        <x:v>7</x:v>
      </x:c>
      <x:c r="M72" s="12" t="n">
        <x:f>IF(OR(K72="",K72=0),"",L72/K72)</x:f>
        <x:v>0.010769230769230769</x:v>
      </x:c>
      <x:c r="N72" s="13" t="str">
        <x:v>排期偏差异常</x:v>
      </x:c>
      <x:c r="O72" s="2" t="str">
        <x:v>PP-0922</x:v>
      </x:c>
    </x:row>
    <x:row r="73" ht="36" customHeight="1">
      <x:c r="A73" s="10" t="d">
        <x:v>2026-09-22T00:00:00.000Z</x:v>
      </x:c>
      <x:c r="B73" s="2" t="str">
        <x:v>D11</x:v>
      </x:c>
      <x:c r="C73" s="2" t="str">
        <x:v>P024</x:v>
      </x:c>
      <x:c r="D73" s="2" t="str">
        <x:v>WO-0922-11-02</x:v>
      </x:c>
      <x:c r="E73" s="2" t="n">
        <x:v>220</x:v>
      </x:c>
      <x:c r="F73" s="11" t="n">
        <x:v>0.2</x:v>
      </x:c>
      <x:c r="G73" s="11" t="n">
        <x:f>IF(F73="","",E73*F73)</x:f>
        <x:v>44</x:v>
      </x:c>
      <x:c r="H73" s="12" t="n">
        <x:f>IF(OR(G73="",'线体日汇总'!H28="",'线体日汇总'!H28=0),"",G73/'线体日汇总'!H28)</x:f>
        <x:v>0.4545454545454546</x:v>
      </x:c>
      <x:c r="I73" s="11" t="n">
        <x:f>IF(OR(H73="",'线体日汇总'!G28=""),"",H73*'线体日汇总'!G28)</x:f>
        <x:v>30.799999999999997</x:v>
      </x:c>
      <x:c r="J73" s="12" t="n">
        <x:f>IF(OR(G73="",G73=0,I73=""),"",(I73-G73)/G73)</x:f>
        <x:v>-0.30000000000000004</x:v>
      </x:c>
      <x:c r="K73" s="2" t="n">
        <x:v>1180</x:v>
      </x:c>
      <x:c r="L73" s="2" t="n">
        <x:v>8</x:v>
      </x:c>
      <x:c r="M73" s="12" t="n">
        <x:f>IF(OR(K73="",K73=0),"",L73/K73)</x:f>
        <x:v>0.006779661016949152</x:v>
      </x:c>
      <x:c r="N73" s="13" t="str">
        <x:v>排期偏差异常</x:v>
      </x:c>
      <x:c r="O73" s="2" t="str">
        <x:v>PP-0922</x:v>
      </x:c>
    </x:row>
    <x:row r="74" ht="36" customHeight="1">
      <x:c r="A74" s="10" t="d">
        <x:v>2026-09-22T00:00:00.000Z</x:v>
      </x:c>
      <x:c r="B74" s="2" t="str">
        <x:v>D11</x:v>
      </x:c>
      <x:c r="C74" s="2" t="str">
        <x:v>P025</x:v>
      </x:c>
      <x:c r="D74" s="2" t="str">
        <x:v>WO-0922-11-03</x:v>
      </x:c>
      <x:c r="E74" s="2" t="n">
        <x:v>180</x:v>
      </x:c>
      <x:c r="F74" s="11" t="n">
        <x:v>0.06</x:v>
      </x:c>
      <x:c r="G74" s="11" t="n">
        <x:f>IF(F74="","",E74*F74)</x:f>
        <x:v>10.799999999999999</x:v>
      </x:c>
      <x:c r="H74" s="12" t="n">
        <x:f>IF(OR(G74="",'线体日汇总'!H28="",'线体日汇总'!H28=0),"",G74/'线体日汇总'!H28)</x:f>
        <x:v>0.11157024793388429</x:v>
      </x:c>
      <x:c r="I74" s="11" t="n">
        <x:f>IF(OR(H74="",'线体日汇总'!G28=""),"",H74*'线体日汇总'!G28)</x:f>
        <x:v>7.559999999999998</x:v>
      </x:c>
      <x:c r="J74" s="12" t="n">
        <x:f>IF(OR(G74="",G74=0,I74=""),"",(I74-G74)/G74)</x:f>
        <x:v>-0.30000000000000016</x:v>
      </x:c>
      <x:c r="K74" s="2" t="n">
        <x:v>1160</x:v>
      </x:c>
      <x:c r="L74" s="2" t="n">
        <x:v>12</x:v>
      </x:c>
      <x:c r="M74" s="12" t="n">
        <x:f>IF(OR(K74="",K74=0),"",L74/K74)</x:f>
        <x:v>0.010344827586206896</x:v>
      </x:c>
      <x:c r="N74" s="13" t="str">
        <x:v>排期偏差异常</x:v>
      </x:c>
      <x:c r="O74" s="2" t="str">
        <x:v>PC-015</x:v>
      </x:c>
    </x:row>
    <x:row r="75" ht="36" customHeight="1">
      <x:c r="A75" s="10" t="d">
        <x:v>2026-09-22T00:00:00.000Z</x:v>
      </x:c>
      <x:c r="B75" s="2" t="str">
        <x:v>D12</x:v>
      </x:c>
      <x:c r="C75" s="2" t="str">
        <x:v>P025</x:v>
      </x:c>
      <x:c r="D75" s="2" t="str">
        <x:v>WO-0922-12-01</x:v>
      </x:c>
      <x:c r="E75" s="2" t="n">
        <x:v>120</x:v>
      </x:c>
      <x:c r="F75" s="11" t="n">
        <x:v>0.06</x:v>
      </x:c>
      <x:c r="G75" s="11" t="n">
        <x:f>IF(F75="","",E75*F75)</x:f>
        <x:v>7.199999999999999</x:v>
      </x:c>
      <x:c r="H75" s="12" t="n">
        <x:f>IF(OR(G75="",'线体日汇总'!H29="",'线体日汇总'!H29=0),"",G75/'线体日汇总'!H29)</x:f>
        <x:v>0.1323529411764706</x:v>
      </x:c>
      <x:c r="I75" s="11" t="n">
        <x:f>IF(OR(H75="",'线体日汇总'!G29=""),"",H75*'线体日汇总'!G29)</x:f>
        <x:v>6.84</x:v>
      </x:c>
      <x:c r="J75" s="12" t="n">
        <x:f>IF(OR(G75="",G75=0,I75=""),"",(I75-G75)/G75)</x:f>
        <x:v>-0.049999999999999926</x:v>
      </x:c>
      <x:c r="K75" s="2" t="n">
        <x:v>770</x:v>
      </x:c>
      <x:c r="L75" s="2" t="n">
        <x:v>7</x:v>
      </x:c>
      <x:c r="M75" s="12" t="n">
        <x:f>IF(OR(K75="",K75=0),"",L75/K75)</x:f>
        <x:v>0.00909090909090909</x:v>
      </x:c>
      <x:c r="N75" s="13" t="str">
        <x:v>加班占比异常</x:v>
      </x:c>
      <x:c r="O75" s="2" t="str">
        <x:v>PP-0922</x:v>
      </x:c>
    </x:row>
    <x:row r="76" ht="36" customHeight="1">
      <x:c r="A76" s="10" t="d">
        <x:v>2026-09-22T00:00:00.000Z</x:v>
      </x:c>
      <x:c r="B76" s="2" t="str">
        <x:v>D12</x:v>
      </x:c>
      <x:c r="C76" s="2" t="str">
        <x:v>P026</x:v>
      </x:c>
      <x:c r="D76" s="2" t="str">
        <x:v>WO-0922-12-02</x:v>
      </x:c>
      <x:c r="E76" s="2" t="n">
        <x:v>140</x:v>
      </x:c>
      <x:c r="F76" s="11" t="n">
        <x:v>0.08</x:v>
      </x:c>
      <x:c r="G76" s="11" t="n">
        <x:f>IF(F76="","",E76*F76)</x:f>
        <x:v>11.200000000000001</x:v>
      </x:c>
      <x:c r="H76" s="12" t="n">
        <x:f>IF(OR(G76="",'线体日汇总'!H29="",'线体日汇总'!H29=0),"",G76/'线体日汇总'!H29)</x:f>
        <x:v>0.2058823529411765</x:v>
      </x:c>
      <x:c r="I76" s="11" t="n">
        <x:f>IF(OR(H76="",'线体日汇总'!G29=""),"",H76*'线体日汇总'!G29)</x:f>
        <x:v>10.64</x:v>
      </x:c>
      <x:c r="J76" s="12" t="n">
        <x:f>IF(OR(G76="",G76=0,I76=""),"",(I76-G76)/G76)</x:f>
        <x:v>-0.05000000000000004</x:v>
      </x:c>
      <x:c r="K76" s="2" t="n">
        <x:v>1420</x:v>
      </x:c>
      <x:c r="L76" s="2" t="n">
        <x:v>7</x:v>
      </x:c>
      <x:c r="M76" s="12" t="n">
        <x:f>IF(OR(K76="",K76=0),"",L76/K76)</x:f>
        <x:v>0.004929577464788733</x:v>
      </x:c>
      <x:c r="N76" s="13" t="str">
        <x:v>加班占比异常</x:v>
      </x:c>
      <x:c r="O76" s="2" t="str">
        <x:v>PP-0922</x:v>
      </x:c>
    </x:row>
    <x:row r="77" ht="36" customHeight="1">
      <x:c r="A77" s="10" t="d">
        <x:v>2026-09-22T00:00:00.000Z</x:v>
      </x:c>
      <x:c r="B77" s="2" t="str">
        <x:v>D12</x:v>
      </x:c>
      <x:c r="C77" s="2" t="str">
        <x:v>P027</x:v>
      </x:c>
      <x:c r="D77" s="2" t="str">
        <x:v>WO-0922-12-03</x:v>
      </x:c>
      <x:c r="E77" s="2" t="n">
        <x:v>360</x:v>
      </x:c>
      <x:c r="F77" s="11" t="n">
        <x:v>0.1</x:v>
      </x:c>
      <x:c r="G77" s="11" t="n">
        <x:f>IF(F77="","",E77*F77)</x:f>
        <x:v>36</x:v>
      </x:c>
      <x:c r="H77" s="12" t="n">
        <x:f>IF(OR(G77="",'线体日汇总'!H29="",'线体日汇总'!H29=0),"",G77/'线体日汇总'!H29)</x:f>
        <x:v>0.6617647058823529</x:v>
      </x:c>
      <x:c r="I77" s="11" t="n">
        <x:f>IF(OR(H77="",'线体日汇总'!G29=""),"",H77*'线体日汇总'!G29)</x:f>
        <x:v>34.199999999999996</x:v>
      </x:c>
      <x:c r="J77" s="12" t="n">
        <x:f>IF(OR(G77="",G77=0,I77=""),"",(I77-G77)/G77)</x:f>
        <x:v>-0.05000000000000012</x:v>
      </x:c>
      <x:c r="K77" s="2" t="n">
        <x:v>1180</x:v>
      </x:c>
      <x:c r="L77" s="2" t="n">
        <x:v>7</x:v>
      </x:c>
      <x:c r="M77" s="12" t="n">
        <x:f>IF(OR(K77="",K77=0),"",L77/K77)</x:f>
        <x:v>0.005932203389830509</x:v>
      </x:c>
      <x:c r="N77" s="13" t="str">
        <x:v>加班占比异常</x:v>
      </x:c>
      <x:c r="O77" s="2" t="str">
        <x:v>PP-0922</x:v>
      </x:c>
    </x:row>
    <x:row r="78" ht="36" customHeight="1">
      <x:c r="A78" s="10" t="d">
        <x:v>2026-09-23T00:00:00.000Z</x:v>
      </x:c>
      <x:c r="B78" s="2" t="str">
        <x:v>D01</x:v>
      </x:c>
      <x:c r="C78" s="2" t="str">
        <x:v>P004</x:v>
      </x:c>
      <x:c r="D78" s="2" t="str">
        <x:v>WO-0923-01-01</x:v>
      </x:c>
      <x:c r="E78" s="2" t="n">
        <x:v>260</x:v>
      </x:c>
      <x:c r="F78" s="11" t="n">
        <x:v>0.11999999999999998</x:v>
      </x:c>
      <x:c r="G78" s="11" t="n">
        <x:f>IF(F78="","",E78*F78)</x:f>
        <x:v>31.199999999999996</x:v>
      </x:c>
      <x:c r="H78" s="12" t="n">
        <x:f>IF(OR(G78="",'线体日汇总'!H30="",'线体日汇总'!H30=0),"",G78/'线体日汇总'!H30)</x:f>
        <x:v>0.2937853107344633</x:v>
      </x:c>
      <x:c r="I78" s="11" t="n">
        <x:f>IF(OR(H78="",'线体日汇总'!G30=""),"",H78*'线体日汇总'!G30)</x:f>
        <x:v>32.76</x:v>
      </x:c>
      <x:c r="J78" s="12" t="n">
        <x:f>IF(OR(G78="",G78=0,I78=""),"",(I78-G78)/G78)</x:f>
        <x:v>0.05000000000000008</x:v>
      </x:c>
      <x:c r="K78" s="2" t="n">
        <x:v>1040</x:v>
      </x:c>
      <x:c r="L78" s="2" t="n">
        <x:v>9</x:v>
      </x:c>
      <x:c r="M78" s="12" t="n">
        <x:f>IF(OR(K78="",K78=0),"",L78/K78)</x:f>
        <x:v>0.008653846153846154</x:v>
      </x:c>
      <x:c r="N78" s="13" t="str">
        <x:v>正常</x:v>
      </x:c>
      <x:c r="O78" s="2" t="str">
        <x:v>PP-0923</x:v>
      </x:c>
    </x:row>
    <x:row r="79" ht="36" customHeight="1">
      <x:c r="A79" s="10" t="d">
        <x:v>2026-09-23T00:00:00.000Z</x:v>
      </x:c>
      <x:c r="B79" s="2" t="str">
        <x:v>D01</x:v>
      </x:c>
      <x:c r="C79" s="2" t="str">
        <x:v>P005</x:v>
      </x:c>
      <x:c r="D79" s="2" t="str">
        <x:v>WO-0923-01-02</x:v>
      </x:c>
      <x:c r="E79" s="2" t="n">
        <x:v>260</x:v>
      </x:c>
      <x:c r="F79" s="11" t="n">
        <x:v>0.15</x:v>
      </x:c>
      <x:c r="G79" s="11" t="n">
        <x:f>IF(F79="","",E79*F79)</x:f>
        <x:v>39</x:v>
      </x:c>
      <x:c r="H79" s="12" t="n">
        <x:f>IF(OR(G79="",'线体日汇总'!H30="",'线体日汇总'!H30=0),"",G79/'线体日汇总'!H30)</x:f>
        <x:v>0.36723163841807915</x:v>
      </x:c>
      <x:c r="I79" s="11" t="n">
        <x:f>IF(OR(H79="",'线体日汇总'!G30=""),"",H79*'线体日汇总'!G30)</x:f>
        <x:v>40.95</x:v>
      </x:c>
      <x:c r="J79" s="12" t="n">
        <x:f>IF(OR(G79="",G79=0,I79=""),"",(I79-G79)/G79)</x:f>
        <x:v>0.05000000000000007</x:v>
      </x:c>
      <x:c r="K79" s="2" t="n">
        <x:v>1010</x:v>
      </x:c>
      <x:c r="L79" s="2" t="n">
        <x:v>12</x:v>
      </x:c>
      <x:c r="M79" s="12" t="n">
        <x:f>IF(OR(K79="",K79=0),"",L79/K79)</x:f>
        <x:v>0.011881188118811881</x:v>
      </x:c>
      <x:c r="N79" s="13" t="str">
        <x:v>正常</x:v>
      </x:c>
      <x:c r="O79" s="2" t="str">
        <x:v>PP-0923</x:v>
      </x:c>
    </x:row>
    <x:row r="80" ht="36" customHeight="1">
      <x:c r="A80" s="10" t="d">
        <x:v>2026-09-23T00:00:00.000Z</x:v>
      </x:c>
      <x:c r="B80" s="2" t="str">
        <x:v>D01</x:v>
      </x:c>
      <x:c r="C80" s="2" t="str">
        <x:v>P006</x:v>
      </x:c>
      <x:c r="D80" s="2" t="str">
        <x:v>WO-0923-01-03</x:v>
      </x:c>
      <x:c r="E80" s="2" t="n">
        <x:v>180</x:v>
      </x:c>
      <x:c r="F80" s="11" t="n">
        <x:v>0.2</x:v>
      </x:c>
      <x:c r="G80" s="11" t="n">
        <x:f>IF(F80="","",E80*F80)</x:f>
        <x:v>36</x:v>
      </x:c>
      <x:c r="H80" s="12" t="n">
        <x:f>IF(OR(G80="",'线体日汇总'!H30="",'线体日汇总'!H30=0),"",G80/'线体日汇总'!H30)</x:f>
        <x:v>0.33898305084745767</x:v>
      </x:c>
      <x:c r="I80" s="11" t="n">
        <x:f>IF(OR(H80="",'线体日汇总'!G30=""),"",H80*'线体日汇总'!G30)</x:f>
        <x:v>37.800000000000004</x:v>
      </x:c>
      <x:c r="J80" s="12" t="n">
        <x:f>IF(OR(G80="",G80=0,I80=""),"",(I80-G80)/G80)</x:f>
        <x:v>0.05000000000000012</x:v>
      </x:c>
      <x:c r="K80" s="2" t="n">
        <x:v>870</x:v>
      </x:c>
      <x:c r="L80" s="2" t="n">
        <x:v>9</x:v>
      </x:c>
      <x:c r="M80" s="12" t="n">
        <x:f>IF(OR(K80="",K80=0),"",L80/K80)</x:f>
        <x:v>0.010344827586206896</x:v>
      </x:c>
      <x:c r="N80" s="13" t="str">
        <x:v>正常</x:v>
      </x:c>
      <x:c r="O80" s="2" t="str">
        <x:v>PP-0923</x:v>
      </x:c>
    </x:row>
    <x:row r="81" ht="36" customHeight="1">
      <x:c r="A81" s="10" t="d">
        <x:v>2026-09-23T00:00:00.000Z</x:v>
      </x:c>
      <x:c r="B81" s="2" t="str">
        <x:v>D02</x:v>
      </x:c>
      <x:c r="C81" s="2" t="str">
        <x:v>P006</x:v>
      </x:c>
      <x:c r="D81" s="2" t="str">
        <x:v>WO-0923-02-01</x:v>
      </x:c>
      <x:c r="E81" s="2" t="n">
        <x:v>120</x:v>
      </x:c>
      <x:c r="F81" s="11" t="n">
        <x:v>0.2</x:v>
      </x:c>
      <x:c r="G81" s="11" t="n">
        <x:f>IF(F81="","",E81*F81)</x:f>
        <x:v>24</x:v>
      </x:c>
      <x:c r="H81" s="12" t="n">
        <x:f>IF(OR(G81="",'线体日汇总'!H31="",'线体日汇总'!H31=0),"",G81/'线体日汇总'!H31)</x:f>
        <x:v>0.4</x:v>
      </x:c>
      <x:c r="I81" s="11" t="n">
        <x:f>IF(OR(H81="",'线体日汇总'!G31=""),"",H81*'线体日汇总'!G31)</x:f>
        <x:v>27.6</x:v>
      </x:c>
      <x:c r="J81" s="12" t="n">
        <x:f>IF(OR(G81="",G81=0,I81=""),"",(I81-G81)/G81)</x:f>
        <x:v>0.15000000000000005</x:v>
      </x:c>
      <x:c r="K81" s="2" t="n">
        <x:v>1350</x:v>
      </x:c>
      <x:c r="L81" s="2" t="n">
        <x:v>10</x:v>
      </x:c>
      <x:c r="M81" s="12" t="n">
        <x:f>IF(OR(K81="",K81=0),"",L81/K81)</x:f>
        <x:v>0.007407407407407408</x:v>
      </x:c>
      <x:c r="N81" s="13" t="str">
        <x:v>正常</x:v>
      </x:c>
      <x:c r="O81" s="2" t="str">
        <x:v>PP-0923</x:v>
      </x:c>
    </x:row>
    <x:row r="82" ht="36" customHeight="1">
      <x:c r="A82" s="10" t="d">
        <x:v>2026-09-23T00:00:00.000Z</x:v>
      </x:c>
      <x:c r="B82" s="2" t="str">
        <x:v>D02</x:v>
      </x:c>
      <x:c r="C82" s="2" t="str">
        <x:v>P007</x:v>
      </x:c>
      <x:c r="D82" s="2" t="str">
        <x:v>WO-0923-02-02</x:v>
      </x:c>
      <x:c r="E82" s="2" t="n">
        <x:v>120</x:v>
      </x:c>
      <x:c r="F82" s="11" t="n">
        <x:v>0.06</x:v>
      </x:c>
      <x:c r="G82" s="11" t="n">
        <x:f>IF(F82="","",E82*F82)</x:f>
        <x:v>7.199999999999999</x:v>
      </x:c>
      <x:c r="H82" s="12" t="n">
        <x:f>IF(OR(G82="",'线体日汇总'!H31="",'线体日汇总'!H31=0),"",G82/'线体日汇总'!H31)</x:f>
        <x:v>0.11999999999999998</x:v>
      </x:c>
      <x:c r="I82" s="11" t="n">
        <x:f>IF(OR(H82="",'线体日汇总'!G31=""),"",H82*'线体日汇总'!G31)</x:f>
        <x:v>8.28</x:v>
      </x:c>
      <x:c r="J82" s="12" t="n">
        <x:f>IF(OR(G82="",G82=0,I82=""),"",(I82-G82)/G82)</x:f>
        <x:v>0.15000000000000002</x:v>
      </x:c>
      <x:c r="K82" s="2" t="n">
        <x:v>1180</x:v>
      </x:c>
      <x:c r="L82" s="2" t="n">
        <x:v>13</x:v>
      </x:c>
      <x:c r="M82" s="12" t="n">
        <x:f>IF(OR(K82="",K82=0),"",L82/K82)</x:f>
        <x:v>0.011016949152542373</x:v>
      </x:c>
      <x:c r="N82" s="13" t="str">
        <x:v>正常</x:v>
      </x:c>
      <x:c r="O82" s="2" t="str">
        <x:v>PP-0923</x:v>
      </x:c>
    </x:row>
    <x:row r="83" ht="36" customHeight="1">
      <x:c r="A83" s="10" t="d">
        <x:v>2026-09-23T00:00:00.000Z</x:v>
      </x:c>
      <x:c r="B83" s="2" t="str">
        <x:v>D02</x:v>
      </x:c>
      <x:c r="C83" s="2" t="str">
        <x:v>P008</x:v>
      </x:c>
      <x:c r="D83" s="2" t="str">
        <x:v>WO-0923-02-03</x:v>
      </x:c>
      <x:c r="E83" s="2" t="n">
        <x:v>360</x:v>
      </x:c>
      <x:c r="F83" s="11" t="n">
        <x:v>0.08</x:v>
      </x:c>
      <x:c r="G83" s="11" t="n">
        <x:f>IF(F83="","",E83*F83)</x:f>
        <x:v>28.8</x:v>
      </x:c>
      <x:c r="H83" s="12" t="n">
        <x:f>IF(OR(G83="",'线体日汇总'!H31="",'线体日汇总'!H31=0),"",G83/'线体日汇总'!H31)</x:f>
        <x:v>0.48000000000000004</x:v>
      </x:c>
      <x:c r="I83" s="11" t="n">
        <x:f>IF(OR(H83="",'线体日汇总'!G31=""),"",H83*'线体日汇总'!G31)</x:f>
        <x:v>33.120000000000005</x:v>
      </x:c>
      <x:c r="J83" s="12" t="n">
        <x:f>IF(OR(G83="",G83=0,I83=""),"",(I83-G83)/G83)</x:f>
        <x:v>0.15000000000000013</x:v>
      </x:c>
      <x:c r="K83" s="2" t="n">
        <x:v>1390</x:v>
      </x:c>
      <x:c r="L83" s="2" t="n">
        <x:v>8</x:v>
      </x:c>
      <x:c r="M83" s="12" t="n">
        <x:f>IF(OR(K83="",K83=0),"",L83/K83)</x:f>
        <x:v>0.0057553956834532375</x:v>
      </x:c>
      <x:c r="N83" s="13" t="str">
        <x:v>正常</x:v>
      </x:c>
      <x:c r="O83" s="2" t="str">
        <x:v>PP-0923</x:v>
      </x:c>
    </x:row>
    <x:row r="84" ht="36" customHeight="1">
      <x:c r="A84" s="10" t="d">
        <x:v>2026-09-23T00:00:00.000Z</x:v>
      </x:c>
      <x:c r="B84" s="2" t="str">
        <x:v>D03</x:v>
      </x:c>
      <x:c r="C84" s="2" t="str">
        <x:v>P008</x:v>
      </x:c>
      <x:c r="D84" s="2" t="str">
        <x:v>WO-0923-03-01</x:v>
      </x:c>
      <x:c r="E84" s="2" t="n">
        <x:v>340</x:v>
      </x:c>
      <x:c r="F84" s="11" t="n">
        <x:v>0.08</x:v>
      </x:c>
      <x:c r="G84" s="11" t="n">
        <x:f>IF(F84="","",E84*F84)</x:f>
        <x:v>27.2</x:v>
      </x:c>
      <x:c r="H84" s="12" t="n">
        <x:f>IF(OR(G84="",'线体日汇总'!H32="",'线体日汇总'!H32=0),"",G84/'线体日汇总'!H32)</x:f>
        <x:v>0.2764227642276422</x:v>
      </x:c>
      <x:c r="I84" s="11" t="n">
        <x:f>IF(OR(H84="",'线体日汇总'!G32=""),"",H84*'线体日汇总'!G32)</x:f>
        <x:v>32.639990785907855</x:v>
      </x:c>
      <x:c r="J84" s="12" t="n">
        <x:f>IF(OR(G84="",G84=0,I84=""),"",(I84-G84)/G84)</x:f>
        <x:v>0.19999966124661236</x:v>
      </x:c>
      <x:c r="K84" s="2" t="n">
        <x:v>1020</x:v>
      </x:c>
      <x:c r="L84" s="2" t="n">
        <x:v>13</x:v>
      </x:c>
      <x:c r="M84" s="12" t="n">
        <x:f>IF(OR(K84="",K84=0),"",L84/K84)</x:f>
        <x:v>0.012745098039215686</x:v>
      </x:c>
      <x:c r="N84" s="13" t="str">
        <x:v>加班占比异常</x:v>
      </x:c>
      <x:c r="O84" s="2" t="str">
        <x:v>PP-0923</x:v>
      </x:c>
    </x:row>
    <x:row r="85" ht="36" customHeight="1">
      <x:c r="A85" s="10" t="d">
        <x:v>2026-09-23T00:00:00.000Z</x:v>
      </x:c>
      <x:c r="B85" s="2" t="str">
        <x:v>D03</x:v>
      </x:c>
      <x:c r="C85" s="2" t="str">
        <x:v>P009</x:v>
      </x:c>
      <x:c r="D85" s="2" t="str">
        <x:v>WO-0923-03-02</x:v>
      </x:c>
      <x:c r="E85" s="2" t="n">
        <x:v>280</x:v>
      </x:c>
      <x:c r="F85" s="11" t="n">
        <x:v>0.1</x:v>
      </x:c>
      <x:c r="G85" s="11" t="n">
        <x:f>IF(F85="","",E85*F85)</x:f>
        <x:v>28</x:v>
      </x:c>
      <x:c r="H85" s="12" t="n">
        <x:f>IF(OR(G85="",'线体日汇总'!H32="",'线体日汇总'!H32=0),"",G85/'线体日汇总'!H32)</x:f>
        <x:v>0.2845528455284553</x:v>
      </x:c>
      <x:c r="I85" s="11" t="n">
        <x:f>IF(OR(H85="",'线体日汇总'!G32=""),"",H85*'线体日汇总'!G32)</x:f>
        <x:v>33.599990514905144</x:v>
      </x:c>
      <x:c r="J85" s="12" t="n">
        <x:f>IF(OR(G85="",G85=0,I85=""),"",(I85-G85)/G85)</x:f>
        <x:v>0.1999996612466123</x:v>
      </x:c>
      <x:c r="K85" s="2" t="n">
        <x:v>770</x:v>
      </x:c>
      <x:c r="L85" s="2" t="n">
        <x:v>10</x:v>
      </x:c>
      <x:c r="M85" s="12" t="n">
        <x:f>IF(OR(K85="",K85=0),"",L85/K85)</x:f>
        <x:v>0.012987012987012988</x:v>
      </x:c>
      <x:c r="N85" s="13" t="str">
        <x:v>加班占比异常</x:v>
      </x:c>
      <x:c r="O85" s="2" t="str">
        <x:v>PP-0923</x:v>
      </x:c>
    </x:row>
    <x:row r="86" ht="36" customHeight="1">
      <x:c r="A86" s="10" t="d">
        <x:v>2026-09-23T00:00:00.000Z</x:v>
      </x:c>
      <x:c r="B86" s="2" t="str">
        <x:v>D03</x:v>
      </x:c>
      <x:c r="C86" s="2" t="str">
        <x:v>P010</x:v>
      </x:c>
      <x:c r="D86" s="2" t="str">
        <x:v>WO-0923-03-03</x:v>
      </x:c>
      <x:c r="E86" s="2" t="n">
        <x:v>360</x:v>
      </x:c>
      <x:c r="F86" s="11" t="n">
        <x:v>0.11999999999999998</x:v>
      </x:c>
      <x:c r="G86" s="11" t="n">
        <x:f>IF(F86="","",E86*F86)</x:f>
        <x:v>43.199999999999996</x:v>
      </x:c>
      <x:c r="H86" s="12" t="n">
        <x:f>IF(OR(G86="",'线体日汇总'!H32="",'线体日汇总'!H32=0),"",G86/'线体日汇总'!H32)</x:f>
        <x:v>0.4390243902439024</x:v>
      </x:c>
      <x:c r="I86" s="11" t="n">
        <x:f>IF(OR(H86="",'线体日汇总'!G32=""),"",H86*'线体日汇总'!G32)</x:f>
        <x:v>51.83998536585365</x:v>
      </x:c>
      <x:c r="J86" s="12" t="n">
        <x:f>IF(OR(G86="",G86=0,I86=""),"",(I86-G86)/G86)</x:f>
        <x:v>0.1999996612466124</x:v>
      </x:c>
      <x:c r="K86" s="2" t="n">
        <x:v>730</x:v>
      </x:c>
      <x:c r="L86" s="2" t="n">
        <x:v>9</x:v>
      </x:c>
      <x:c r="M86" s="12" t="n">
        <x:f>IF(OR(K86="",K86=0),"",L86/K86)</x:f>
        <x:v>0.012328767123287671</x:v>
      </x:c>
      <x:c r="N86" s="13" t="str">
        <x:v>加班占比异常</x:v>
      </x:c>
      <x:c r="O86" s="2" t="str">
        <x:v>PP-0923</x:v>
      </x:c>
    </x:row>
    <x:row r="87" ht="36" customHeight="1">
      <x:c r="A87" s="10" t="d">
        <x:v>2026-09-23T00:00:00.000Z</x:v>
      </x:c>
      <x:c r="B87" s="2" t="str">
        <x:v>D04</x:v>
      </x:c>
      <x:c r="C87" s="2" t="str">
        <x:v>P010</x:v>
      </x:c>
      <x:c r="D87" s="2" t="str">
        <x:v>WO-0923-04-01</x:v>
      </x:c>
      <x:c r="E87" s="2" t="n">
        <x:v>280</x:v>
      </x:c>
      <x:c r="F87" s="11" t="n">
        <x:v>0.11999999999999998</x:v>
      </x:c>
      <x:c r="G87" s="11" t="n">
        <x:f>IF(F87="","",E87*F87)</x:f>
        <x:v>33.599999999999994</x:v>
      </x:c>
      <x:c r="H87" s="12" t="n">
        <x:f>IF(OR(G87="",'线体日汇总'!H33="",'线体日汇总'!H33=0),"",G87/'线体日汇总'!H33)</x:f>
        <x:v>0.30939226519337015</x:v>
      </x:c>
      <x:c r="I87" s="11" t="n">
        <x:f>IF(OR(H87="",'线体日汇总'!G33=""),"",H87*'线体日汇总'!G33)</x:f>
        <x:v>26.879989686924496</x:v>
      </x:c>
      <x:c r="J87" s="12" t="n">
        <x:f>IF(OR(G87="",G87=0,I87=""),"",(I87-G87)/G87)</x:f>
        <x:v>-0.20000030693677082</x:v>
      </x:c>
      <x:c r="K87" s="2" t="n">
        <x:v>1030</x:v>
      </x:c>
      <x:c r="L87" s="2" t="n">
        <x:v>9</x:v>
      </x:c>
      <x:c r="M87" s="12" t="n">
        <x:f>IF(OR(K87="",K87=0),"",L87/K87)</x:f>
        <x:v>0.008737864077669903</x:v>
      </x:c>
      <x:c r="N87" s="13" t="str">
        <x:v>排期偏差异常</x:v>
      </x:c>
      <x:c r="O87" s="2" t="str">
        <x:v>PC-017</x:v>
      </x:c>
    </x:row>
    <x:row r="88" ht="36" customHeight="1">
      <x:c r="A88" s="10" t="d">
        <x:v>2026-09-23T00:00:00.000Z</x:v>
      </x:c>
      <x:c r="B88" s="2" t="str">
        <x:v>D04</x:v>
      </x:c>
      <x:c r="C88" s="2" t="str">
        <x:v>P011</x:v>
      </x:c>
      <x:c r="D88" s="2" t="str">
        <x:v>WO-0923-04-02</x:v>
      </x:c>
      <x:c r="E88" s="2" t="n">
        <x:v>340</x:v>
      </x:c>
      <x:c r="F88" s="11" t="n">
        <x:v>0.15</x:v>
      </x:c>
      <x:c r="G88" s="11" t="n">
        <x:f>IF(F88="","",E88*F88)</x:f>
        <x:v>51</x:v>
      </x:c>
      <x:c r="H88" s="12" t="n">
        <x:f>IF(OR(G88="",'线体日汇总'!H33="",'线体日汇总'!H33=0),"",G88/'线体日汇总'!H33)</x:f>
        <x:v>0.4696132596685083</x:v>
      </x:c>
      <x:c r="I88" s="11" t="n">
        <x:f>IF(OR(H88="",'线体日汇总'!G33=""),"",H88*'线体日汇总'!G33)</x:f>
        <x:v>40.79998434622468</x:v>
      </x:c>
      <x:c r="J88" s="12" t="n">
        <x:f>IF(OR(G88="",G88=0,I88=""),"",(I88-G88)/G88)</x:f>
        <x:v>-0.20000030693677093</x:v>
      </x:c>
      <x:c r="K88" s="2" t="n">
        <x:v>1230</x:v>
      </x:c>
      <x:c r="L88" s="2" t="n">
        <x:v>8</x:v>
      </x:c>
      <x:c r="M88" s="12" t="n">
        <x:f>IF(OR(K88="",K88=0),"",L88/K88)</x:f>
        <x:v>0.0065040650406504065</x:v>
      </x:c>
      <x:c r="N88" s="13" t="str">
        <x:v>排期偏差异常</x:v>
      </x:c>
      <x:c r="O88" s="2" t="str">
        <x:v>PP-0923</x:v>
      </x:c>
    </x:row>
    <x:row r="89" ht="36" customHeight="1">
      <x:c r="A89" s="10" t="d">
        <x:v>2026-09-23T00:00:00.000Z</x:v>
      </x:c>
      <x:c r="B89" s="2" t="str">
        <x:v>D04</x:v>
      </x:c>
      <x:c r="C89" s="2" t="str">
        <x:v>P012</x:v>
      </x:c>
      <x:c r="D89" s="2" t="str">
        <x:v>WO-0923-04-03</x:v>
      </x:c>
      <x:c r="E89" s="2" t="n">
        <x:v>120</x:v>
      </x:c>
      <x:c r="F89" s="11" t="n">
        <x:v>0.2</x:v>
      </x:c>
      <x:c r="G89" s="11" t="n">
        <x:f>IF(F89="","",E89*F89)</x:f>
        <x:v>24</x:v>
      </x:c>
      <x:c r="H89" s="12" t="n">
        <x:f>IF(OR(G89="",'线体日汇总'!H33="",'线体日汇总'!H33=0),"",G89/'线体日汇总'!H33)</x:f>
        <x:v>0.22099447513812157</x:v>
      </x:c>
      <x:c r="I89" s="11" t="n">
        <x:f>IF(OR(H89="",'线体日汇总'!G33=""),"",H89*'线体日汇总'!G33)</x:f>
        <x:v>19.1999926335175</x:v>
      </x:c>
      <x:c r="J89" s="12" t="n">
        <x:f>IF(OR(G89="",G89=0,I89=""),"",(I89-G89)/G89)</x:f>
        <x:v>-0.20000030693677084</x:v>
      </x:c>
      <x:c r="K89" s="2" t="n">
        <x:v>860</x:v>
      </x:c>
      <x:c r="L89" s="2" t="n">
        <x:v>6</x:v>
      </x:c>
      <x:c r="M89" s="12" t="n">
        <x:f>IF(OR(K89="",K89=0),"",L89/K89)</x:f>
        <x:v>0.0069767441860465115</x:v>
      </x:c>
      <x:c r="N89" s="13" t="str">
        <x:v>排期偏差异常</x:v>
      </x:c>
      <x:c r="O89" s="2" t="str">
        <x:v>PP-0923</x:v>
      </x:c>
    </x:row>
    <x:row r="90" ht="36" customHeight="1">
      <x:c r="A90" s="10" t="d">
        <x:v>2026-09-23T00:00:00.000Z</x:v>
      </x:c>
      <x:c r="B90" s="2" t="str">
        <x:v>D05</x:v>
      </x:c>
      <x:c r="C90" s="2" t="str">
        <x:v>P012</x:v>
      </x:c>
      <x:c r="D90" s="2" t="str">
        <x:v>WO-0923-05-01</x:v>
      </x:c>
      <x:c r="E90" s="2" t="n">
        <x:v>180</x:v>
      </x:c>
      <x:c r="F90" s="11" t="n">
        <x:v>0.2</x:v>
      </x:c>
      <x:c r="G90" s="11" t="n">
        <x:f>IF(F90="","",E90*F90)</x:f>
        <x:v>36</x:v>
      </x:c>
      <x:c r="H90" s="12" t="n">
        <x:f>IF(OR(G90="",'线体日汇总'!H34="",'线体日汇总'!H34=0),"",G90/'线体日汇总'!H34)</x:f>
        <x:v>0.46391752577319584</x:v>
      </x:c>
      <x:c r="I90" s="11" t="n">
        <x:f>IF(OR(H90="",'线体日汇总'!G34=""),"",H90*'线体日汇总'!G34)</x:f>
        <x:v>48.599984536082474</x:v>
      </x:c>
      <x:c r="J90" s="12" t="n">
        <x:f>IF(OR(G90="",G90=0,I90=""),"",(I90-G90)/G90)</x:f>
        <x:v>0.34999957044673535</x:v>
      </x:c>
      <x:c r="K90" s="2" t="n">
        <x:v>0</x:v>
      </x:c>
      <x:c r="L90" s="2" t="n">
        <x:v>0</x:v>
      </x:c>
      <x:c r="M90" s="12" t="str">
        <x:f>IF(OR(K90="",K90=0),"",L90/K90)</x:f>
      </x:c>
      <x:c r="N90" s="13" t="str">
        <x:v>排期偏差异常；未形成有效检验分母</x:v>
      </x:c>
      <x:c r="O90" s="2" t="str">
        <x:v>PP-0923</x:v>
      </x:c>
    </x:row>
    <x:row r="91" ht="36" customHeight="1">
      <x:c r="A91" s="10" t="d">
        <x:v>2026-09-23T00:00:00.000Z</x:v>
      </x:c>
      <x:c r="B91" s="2" t="str">
        <x:v>D05</x:v>
      </x:c>
      <x:c r="C91" s="2" t="str">
        <x:v>P013</x:v>
      </x:c>
      <x:c r="D91" s="2" t="str">
        <x:v>WO-0923-05-02</x:v>
      </x:c>
      <x:c r="E91" s="2" t="n">
        <x:v>320</x:v>
      </x:c>
      <x:c r="F91" s="11" t="n">
        <x:v>0.06</x:v>
      </x:c>
      <x:c r="G91" s="11" t="n">
        <x:f>IF(F91="","",E91*F91)</x:f>
        <x:v>19.2</x:v>
      </x:c>
      <x:c r="H91" s="12" t="n">
        <x:f>IF(OR(G91="",'线体日汇总'!H34="",'线体日汇总'!H34=0),"",G91/'线体日汇总'!H34)</x:f>
        <x:v>0.2474226804123711</x:v>
      </x:c>
      <x:c r="I91" s="11" t="n">
        <x:f>IF(OR(H91="",'线体日汇总'!G34=""),"",H91*'线体日汇总'!G34)</x:f>
        <x:v>25.919991752577317</x:v>
      </x:c>
      <x:c r="J91" s="12" t="n">
        <x:f>IF(OR(G91="",G91=0,I91=""),"",(I91-G91)/G91)</x:f>
        <x:v>0.34999957044673535</x:v>
      </x:c>
      <x:c r="K91" s="2" t="n">
        <x:v>930</x:v>
      </x:c>
      <x:c r="L91" s="2" t="n">
        <x:v>14</x:v>
      </x:c>
      <x:c r="M91" s="12" t="n">
        <x:f>IF(OR(K91="",K91=0),"",L91/K91)</x:f>
        <x:v>0.015053763440860216</x:v>
      </x:c>
      <x:c r="N91" s="13" t="str">
        <x:v>排期偏差异常</x:v>
      </x:c>
      <x:c r="O91" s="2" t="str">
        <x:v>PP-0923</x:v>
      </x:c>
    </x:row>
    <x:row r="92" ht="36" customHeight="1">
      <x:c r="A92" s="10" t="d">
        <x:v>2026-09-23T00:00:00.000Z</x:v>
      </x:c>
      <x:c r="B92" s="2" t="str">
        <x:v>D05</x:v>
      </x:c>
      <x:c r="C92" s="2" t="str">
        <x:v>P014</x:v>
      </x:c>
      <x:c r="D92" s="2" t="str">
        <x:v>WO-0923-05-03</x:v>
      </x:c>
      <x:c r="E92" s="2" t="n">
        <x:v>280</x:v>
      </x:c>
      <x:c r="F92" s="11" t="n">
        <x:v>0.08</x:v>
      </x:c>
      <x:c r="G92" s="11" t="n">
        <x:f>IF(F92="","",E92*F92)</x:f>
        <x:v>22.400000000000002</x:v>
      </x:c>
      <x:c r="H92" s="12" t="n">
        <x:f>IF(OR(G92="",'线体日汇总'!H34="",'线体日汇总'!H34=0),"",G92/'线体日汇总'!H34)</x:f>
        <x:v>0.28865979381443296</x:v>
      </x:c>
      <x:c r="I92" s="11" t="n">
        <x:f>IF(OR(H92="",'线体日汇总'!G34=""),"",H92*'线体日汇总'!G34)</x:f>
        <x:v>30.239990378006873</x:v>
      </x:c>
      <x:c r="J92" s="12" t="n">
        <x:f>IF(OR(G92="",G92=0,I92=""),"",(I92-G92)/G92)</x:f>
        <x:v>0.34999957044673524</x:v>
      </x:c>
      <x:c r="K92" s="2" t="n">
        <x:v>950</x:v>
      </x:c>
      <x:c r="L92" s="2" t="n">
        <x:v>7</x:v>
      </x:c>
      <x:c r="M92" s="12" t="n">
        <x:f>IF(OR(K92="",K92=0),"",L92/K92)</x:f>
        <x:v>0.007368421052631579</x:v>
      </x:c>
      <x:c r="N92" s="13" t="str">
        <x:v>排期偏差异常</x:v>
      </x:c>
      <x:c r="O92" s="2" t="str">
        <x:v>PP-0923</x:v>
      </x:c>
    </x:row>
    <x:row r="93" ht="36" customHeight="1">
      <x:c r="A93" s="10" t="d">
        <x:v>2026-09-23T00:00:00.000Z</x:v>
      </x:c>
      <x:c r="B93" s="2" t="str">
        <x:v>D06</x:v>
      </x:c>
      <x:c r="C93" s="2" t="str">
        <x:v>P014</x:v>
      </x:c>
      <x:c r="D93" s="2" t="str">
        <x:v>WO-0923-06-01</x:v>
      </x:c>
      <x:c r="E93" s="2" t="n">
        <x:v>160</x:v>
      </x:c>
      <x:c r="F93" s="11" t="n">
        <x:v>0.08</x:v>
      </x:c>
      <x:c r="G93" s="11" t="n">
        <x:f>IF(F93="","",E93*F93)</x:f>
        <x:v>12.8</x:v>
      </x:c>
      <x:c r="H93" s="12" t="n">
        <x:f>IF(OR(G93="",'线体日汇总'!H35="",'线体日汇总'!H35=0),"",G93/'线体日汇总'!H35)</x:f>
        <x:v>0.1748633879781421</x:v>
      </x:c>
      <x:c r="I93" s="11" t="n">
        <x:f>IF(OR(H93="",'线体日汇总'!G35=""),"",H93*'线体日汇总'!G35)</x:f>
        <x:v>8.959994171220401</x:v>
      </x:c>
      <x:c r="J93" s="12" t="n">
        <x:f>IF(OR(G93="",G93=0,I93=""),"",(I93-G93)/G93)</x:f>
        <x:v>-0.3000004553734062</x:v>
      </x:c>
      <x:c r="K93" s="2" t="n">
        <x:v>990</x:v>
      </x:c>
      <x:c r="L93" s="2" t="n">
        <x:v>6</x:v>
      </x:c>
      <x:c r="M93" s="12" t="n">
        <x:f>IF(OR(K93="",K93=0),"",L93/K93)</x:f>
        <x:v>0.006060606060606061</x:v>
      </x:c>
      <x:c r="N93" s="13" t="str">
        <x:v>排期偏差异常；加班占比异常</x:v>
      </x:c>
      <x:c r="O93" s="2" t="str">
        <x:v>PP-0923</x:v>
      </x:c>
    </x:row>
    <x:row r="94" ht="36" customHeight="1">
      <x:c r="A94" s="10" t="d">
        <x:v>2026-09-23T00:00:00.000Z</x:v>
      </x:c>
      <x:c r="B94" s="2" t="str">
        <x:v>D06</x:v>
      </x:c>
      <x:c r="C94" s="2" t="str">
        <x:v>P015</x:v>
      </x:c>
      <x:c r="D94" s="2" t="str">
        <x:v>WO-0923-06-02</x:v>
      </x:c>
      <x:c r="E94" s="2" t="n">
        <x:v>220</x:v>
      </x:c>
      <x:c r="F94" s="11" t="n">
        <x:v>0.1</x:v>
      </x:c>
      <x:c r="G94" s="11" t="n">
        <x:f>IF(F94="","",E94*F94)</x:f>
        <x:v>22</x:v>
      </x:c>
      <x:c r="H94" s="12" t="n">
        <x:f>IF(OR(G94="",'线体日汇总'!H35="",'线体日汇总'!H35=0),"",G94/'线体日汇总'!H35)</x:f>
        <x:v>0.30054644808743175</x:v>
      </x:c>
      <x:c r="I94" s="11" t="n">
        <x:f>IF(OR(H94="",'线体日汇总'!G35=""),"",H94*'线体日汇总'!G35)</x:f>
        <x:v>15.399989981785067</x:v>
      </x:c>
      <x:c r="J94" s="12" t="n">
        <x:f>IF(OR(G94="",G94=0,I94=""),"",(I94-G94)/G94)</x:f>
        <x:v>-0.300000455373406</x:v>
      </x:c>
      <x:c r="K94" s="2" t="n">
        <x:v>910</x:v>
      </x:c>
      <x:c r="L94" s="2" t="n">
        <x:v>3</x:v>
      </x:c>
      <x:c r="M94" s="12" t="n">
        <x:f>IF(OR(K94="",K94=0),"",L94/K94)</x:f>
        <x:v>0.0032967032967032967</x:v>
      </x:c>
      <x:c r="N94" s="13" t="str">
        <x:v>排期偏差异常；加班占比异常</x:v>
      </x:c>
      <x:c r="O94" s="2" t="str">
        <x:v>PP-0923</x:v>
      </x:c>
    </x:row>
    <x:row r="95" ht="36" customHeight="1">
      <x:c r="A95" s="10" t="d">
        <x:v>2026-09-23T00:00:00.000Z</x:v>
      </x:c>
      <x:c r="B95" s="2" t="str">
        <x:v>D06</x:v>
      </x:c>
      <x:c r="C95" s="2" t="str">
        <x:v>P016</x:v>
      </x:c>
      <x:c r="D95" s="2" t="str">
        <x:v>WO-0923-06-03</x:v>
      </x:c>
      <x:c r="E95" s="2" t="n">
        <x:v>320</x:v>
      </x:c>
      <x:c r="F95" s="11" t="n">
        <x:v>0.11999999999999998</x:v>
      </x:c>
      <x:c r="G95" s="11" t="n">
        <x:f>IF(F95="","",E95*F95)</x:f>
        <x:v>38.39999999999999</x:v>
      </x:c>
      <x:c r="H95" s="12" t="n">
        <x:f>IF(OR(G95="",'线体日汇总'!H35="",'线体日汇总'!H35=0),"",G95/'线体日汇总'!H35)</x:f>
        <x:v>0.5245901639344261</x:v>
      </x:c>
      <x:c r="I95" s="11" t="n">
        <x:f>IF(OR(H95="",'线体日汇总'!G35=""),"",H95*'线体日汇总'!G35)</x:f>
        <x:v>26.879982513661197</x:v>
      </x:c>
      <x:c r="J95" s="12" t="n">
        <x:f>IF(OR(G95="",G95=0,I95=""),"",(I95-G95)/G95)</x:f>
        <x:v>-0.3000004553734062</x:v>
      </x:c>
      <x:c r="K95" s="2" t="n">
        <x:v>710</x:v>
      </x:c>
      <x:c r="L95" s="2" t="n">
        <x:v>8</x:v>
      </x:c>
      <x:c r="M95" s="12" t="n">
        <x:f>IF(OR(K95="",K95=0),"",L95/K95)</x:f>
        <x:v>0.011267605633802818</x:v>
      </x:c>
      <x:c r="N95" s="13" t="str">
        <x:v>排期偏差异常；加班占比异常</x:v>
      </x:c>
      <x:c r="O95" s="2" t="str">
        <x:v>PP-0923</x:v>
      </x:c>
    </x:row>
    <x:row r="96" ht="36" customHeight="1">
      <x:c r="A96" s="10" t="d">
        <x:v>2026-09-23T00:00:00.000Z</x:v>
      </x:c>
      <x:c r="B96" s="2" t="str">
        <x:v>D07</x:v>
      </x:c>
      <x:c r="C96" s="2" t="str">
        <x:v>P016</x:v>
      </x:c>
      <x:c r="D96" s="2" t="str">
        <x:v>WO-0923-07-01</x:v>
      </x:c>
      <x:c r="E96" s="2" t="n">
        <x:v>300</x:v>
      </x:c>
      <x:c r="F96" s="11" t="n">
        <x:v>0.11999999999999998</x:v>
      </x:c>
      <x:c r="G96" s="11" t="n">
        <x:f>IF(F96="","",E96*F96)</x:f>
        <x:v>35.99999999999999</x:v>
      </x:c>
      <x:c r="H96" s="12" t="n">
        <x:f>IF(OR(G96="",'线体日汇总'!H36="",'线体日汇总'!H36=0),"",G96/'线体日汇总'!H36)</x:f>
        <x:v>0.28571428571428564</x:v>
      </x:c>
      <x:c r="I96" s="11" t="n">
        <x:f>IF(OR(H96="",'线体日汇总'!G36=""),"",H96*'线体日汇总'!G36)</x:f>
        <x:v>34.20000952380952</x:v>
      </x:c>
      <x:c r="J96" s="12" t="n">
        <x:f>IF(OR(G96="",G96=0,I96=""),"",(I96-G96)/G96)</x:f>
        <x:v>-0.04999973544973537</x:v>
      </x:c>
      <x:c r="K96" s="2" t="n">
        <x:v>1160</x:v>
      </x:c>
      <x:c r="L96" s="2" t="n">
        <x:v>7</x:v>
      </x:c>
      <x:c r="M96" s="12" t="n">
        <x:f>IF(OR(K96="",K96=0),"",L96/K96)</x:f>
        <x:v>0.00603448275862069</x:v>
      </x:c>
      <x:c r="N96" s="13" t="str">
        <x:v>正常</x:v>
      </x:c>
      <x:c r="O96" s="2" t="str">
        <x:v>PP-0923</x:v>
      </x:c>
    </x:row>
    <x:row r="97" ht="36" customHeight="1">
      <x:c r="A97" s="10" t="d">
        <x:v>2026-09-23T00:00:00.000Z</x:v>
      </x:c>
      <x:c r="B97" s="2" t="str">
        <x:v>D07</x:v>
      </x:c>
      <x:c r="C97" s="2" t="str">
        <x:v>P017</x:v>
      </x:c>
      <x:c r="D97" s="2" t="str">
        <x:v>WO-0923-07-02</x:v>
      </x:c>
      <x:c r="E97" s="2" t="n">
        <x:v>280</x:v>
      </x:c>
      <x:c r="F97" s="11" t="n">
        <x:v>0.15</x:v>
      </x:c>
      <x:c r="G97" s="11" t="n">
        <x:f>IF(F97="","",E97*F97)</x:f>
        <x:v>42</x:v>
      </x:c>
      <x:c r="H97" s="12" t="n">
        <x:f>IF(OR(G97="",'线体日汇总'!H36="",'线体日汇总'!H36=0),"",G97/'线体日汇总'!H36)</x:f>
        <x:v>0.3333333333333333</x:v>
      </x:c>
      <x:c r="I97" s="11" t="n">
        <x:f>IF(OR(H97="",'线体日汇总'!G36=""),"",H97*'线体日汇总'!G36)</x:f>
        <x:v>39.90001111111111</x:v>
      </x:c>
      <x:c r="J97" s="12" t="n">
        <x:f>IF(OR(G97="",G97=0,I97=""),"",(I97-G97)/G97)</x:f>
        <x:v>-0.04999973544973542</x:v>
      </x:c>
      <x:c r="K97" s="2" t="n">
        <x:v>790</x:v>
      </x:c>
      <x:c r="L97" s="2" t="n">
        <x:v>7</x:v>
      </x:c>
      <x:c r="M97" s="12" t="n">
        <x:f>IF(OR(K97="",K97=0),"",L97/K97)</x:f>
        <x:v>0.008860759493670886</x:v>
      </x:c>
      <x:c r="N97" s="13" t="str">
        <x:v>正常</x:v>
      </x:c>
      <x:c r="O97" s="2" t="str">
        <x:v>PP-0923</x:v>
      </x:c>
    </x:row>
    <x:row r="98" ht="36" customHeight="1">
      <x:c r="A98" s="10" t="d">
        <x:v>2026-09-23T00:00:00.000Z</x:v>
      </x:c>
      <x:c r="B98" s="2" t="str">
        <x:v>D07</x:v>
      </x:c>
      <x:c r="C98" s="2" t="str">
        <x:v>P018</x:v>
      </x:c>
      <x:c r="D98" s="2" t="str">
        <x:v>WO-0923-07-03</x:v>
      </x:c>
      <x:c r="E98" s="2" t="n">
        <x:v>240</x:v>
      </x:c>
      <x:c r="F98" s="11" t="n">
        <x:v>0.2</x:v>
      </x:c>
      <x:c r="G98" s="11" t="n">
        <x:f>IF(F98="","",E98*F98)</x:f>
        <x:v>48</x:v>
      </x:c>
      <x:c r="H98" s="12" t="n">
        <x:f>IF(OR(G98="",'线体日汇总'!H36="",'线体日汇总'!H36=0),"",G98/'线体日汇总'!H36)</x:f>
        <x:v>0.38095238095238093</x:v>
      </x:c>
      <x:c r="I98" s="11" t="n">
        <x:f>IF(OR(H98="",'线体日汇总'!G36=""),"",H98*'线体日汇总'!G36)</x:f>
        <x:v>45.6000126984127</x:v>
      </x:c>
      <x:c r="J98" s="12" t="n">
        <x:f>IF(OR(G98="",G98=0,I98=""),"",(I98-G98)/G98)</x:f>
        <x:v>-0.04999973544973546</x:v>
      </x:c>
      <x:c r="K98" s="2" t="n">
        <x:v>940</x:v>
      </x:c>
      <x:c r="L98" s="2" t="n">
        <x:v>13</x:v>
      </x:c>
      <x:c r="M98" s="12" t="n">
        <x:f>IF(OR(K98="",K98=0),"",L98/K98)</x:f>
        <x:v>0.013829787234042552</x:v>
      </x:c>
      <x:c r="N98" s="13" t="str">
        <x:v>正常</x:v>
      </x:c>
      <x:c r="O98" s="2" t="str">
        <x:v>PP-0923</x:v>
      </x:c>
    </x:row>
    <x:row r="99" ht="36" customHeight="1">
      <x:c r="A99" s="10" t="d">
        <x:v>2026-09-23T00:00:00.000Z</x:v>
      </x:c>
      <x:c r="B99" s="2" t="str">
        <x:v>D08</x:v>
      </x:c>
      <x:c r="C99" s="2" t="str">
        <x:v>P018</x:v>
      </x:c>
      <x:c r="D99" s="2" t="str">
        <x:v>WO-0923-08-01</x:v>
      </x:c>
      <x:c r="E99" s="2" t="n">
        <x:v>340</x:v>
      </x:c>
      <x:c r="F99" s="11" t="n">
        <x:v>0.2</x:v>
      </x:c>
      <x:c r="G99" s="11" t="n">
        <x:f>IF(F99="","",E99*F99)</x:f>
        <x:v>68</x:v>
      </x:c>
      <x:c r="H99" s="12" t="n">
        <x:f>IF(OR(G99="",'线体日汇总'!H37="",'线体日汇总'!H37=0),"",G99/'线体日汇总'!H37)</x:f>
        <x:v>0.6513409961685823</x:v>
      </x:c>
      <x:c r="I99" s="11" t="n">
        <x:f>IF(OR(H99="",'线体日汇总'!G37=""),"",H99*'线体日汇总'!G37)</x:f>
        <x:v>71.40002171136653</x:v>
      </x:c>
      <x:c r="J99" s="12" t="n">
        <x:f>IF(OR(G99="",G99=0,I99=""),"",(I99-G99)/G99)</x:f>
        <x:v>0.050000319284801975</x:v>
      </x:c>
      <x:c r="K99" s="2" t="n">
        <x:v>940</x:v>
      </x:c>
      <x:c r="L99" s="2" t="n">
        <x:v>8</x:v>
      </x:c>
      <x:c r="M99" s="12" t="n">
        <x:f>IF(OR(K99="",K99=0),"",L99/K99)</x:f>
        <x:v>0.00851063829787234</x:v>
      </x:c>
      <x:c r="N99" s="13" t="str">
        <x:v>正常</x:v>
      </x:c>
      <x:c r="O99" s="2" t="str">
        <x:v>PP-0923</x:v>
      </x:c>
    </x:row>
    <x:row r="100" ht="36" customHeight="1">
      <x:c r="A100" s="10" t="d">
        <x:v>2026-09-23T00:00:00.000Z</x:v>
      </x:c>
      <x:c r="B100" s="2" t="str">
        <x:v>D08</x:v>
      </x:c>
      <x:c r="C100" s="2" t="str">
        <x:v>P019</x:v>
      </x:c>
      <x:c r="D100" s="2" t="str">
        <x:v>WO-0923-08-02</x:v>
      </x:c>
      <x:c r="E100" s="2" t="n">
        <x:v>420</x:v>
      </x:c>
      <x:c r="F100" s="11" t="n">
        <x:v>0.06</x:v>
      </x:c>
      <x:c r="G100" s="11" t="n">
        <x:f>IF(F100="","",E100*F100)</x:f>
        <x:v>25.2</x:v>
      </x:c>
      <x:c r="H100" s="12" t="n">
        <x:f>IF(OR(G100="",'线体日汇总'!H37="",'线体日汇总'!H37=0),"",G100/'线体日汇总'!H37)</x:f>
        <x:v>0.24137931034482757</x:v>
      </x:c>
      <x:c r="I100" s="11" t="n">
        <x:f>IF(OR(H100="",'线体日汇总'!G37=""),"",H100*'线体日汇总'!G37)</x:f>
        <x:v>26.46000804597701</x:v>
      </x:c>
      <x:c r="J100" s="12" t="n">
        <x:f>IF(OR(G100="",G100=0,I100=""),"",(I100-G100)/G100)</x:f>
        <x:v>0.050000319284801975</x:v>
      </x:c>
      <x:c r="K100" s="2" t="n">
        <x:v>1150</x:v>
      </x:c>
      <x:c r="L100" s="2" t="n">
        <x:v>12</x:v>
      </x:c>
      <x:c r="M100" s="12" t="n">
        <x:f>IF(OR(K100="",K100=0),"",L100/K100)</x:f>
        <x:v>0.010434782608695653</x:v>
      </x:c>
      <x:c r="N100" s="13" t="str">
        <x:v>正常</x:v>
      </x:c>
      <x:c r="O100" s="2" t="str">
        <x:v>PC-019</x:v>
      </x:c>
    </x:row>
    <x:row r="101" ht="36" customHeight="1">
      <x:c r="A101" s="10" t="d">
        <x:v>2026-09-23T00:00:00.000Z</x:v>
      </x:c>
      <x:c r="B101" s="2" t="str">
        <x:v>D08</x:v>
      </x:c>
      <x:c r="C101" s="2" t="str">
        <x:v>P020</x:v>
      </x:c>
      <x:c r="D101" s="2" t="str">
        <x:v>WO-0923-08-03</x:v>
      </x:c>
      <x:c r="E101" s="2" t="n">
        <x:v>140</x:v>
      </x:c>
      <x:c r="F101" s="11" t="n">
        <x:v>0.08</x:v>
      </x:c>
      <x:c r="G101" s="11" t="n">
        <x:f>IF(F101="","",E101*F101)</x:f>
        <x:v>11.200000000000001</x:v>
      </x:c>
      <x:c r="H101" s="12" t="n">
        <x:f>IF(OR(G101="",'线体日汇总'!H37="",'线体日汇总'!H37=0),"",G101/'线体日汇总'!H37)</x:f>
        <x:v>0.10727969348659004</x:v>
      </x:c>
      <x:c r="I101" s="11" t="n">
        <x:f>IF(OR(H101="",'线体日汇总'!G37=""),"",H101*'线体日汇总'!G37)</x:f>
        <x:v>11.760003575989783</x:v>
      </x:c>
      <x:c r="J101" s="12" t="n">
        <x:f>IF(OR(G101="",G101=0,I101=""),"",(I101-G101)/G101)</x:f>
        <x:v>0.05000031928480197</x:v>
      </x:c>
      <x:c r="K101" s="2" t="n">
        <x:v>900</x:v>
      </x:c>
      <x:c r="L101" s="2" t="n">
        <x:v>10</x:v>
      </x:c>
      <x:c r="M101" s="12" t="n">
        <x:f>IF(OR(K101="",K101=0),"",L101/K101)</x:f>
        <x:v>0.011111111111111112</x:v>
      </x:c>
      <x:c r="N101" s="13" t="str">
        <x:v>正常</x:v>
      </x:c>
      <x:c r="O101" s="2" t="str">
        <x:v>PP-0923</x:v>
      </x:c>
    </x:row>
    <x:row r="102" ht="36" customHeight="1">
      <x:c r="A102" s="10" t="d">
        <x:v>2026-09-23T00:00:00.000Z</x:v>
      </x:c>
      <x:c r="B102" s="2" t="str">
        <x:v>D09</x:v>
      </x:c>
      <x:c r="C102" s="2" t="str">
        <x:v>P020</x:v>
      </x:c>
      <x:c r="D102" s="2" t="str">
        <x:v>WO-0923-09-01</x:v>
      </x:c>
      <x:c r="E102" s="2" t="n">
        <x:v>280</x:v>
      </x:c>
      <x:c r="F102" s="11" t="n">
        <x:v>0.08</x:v>
      </x:c>
      <x:c r="G102" s="11" t="n">
        <x:f>IF(F102="","",E102*F102)</x:f>
        <x:v>22.400000000000002</x:v>
      </x:c>
      <x:c r="H102" s="12" t="n">
        <x:f>IF(OR(G102="",'线体日汇总'!H38="",'线体日汇总'!H38=0),"",G102/'线体日汇总'!H38)</x:f>
        <x:v>0.40875912408759124</x:v>
      </x:c>
      <x:c r="I102" s="11" t="n">
        <x:f>IF(OR(H102="",'线体日汇总'!G38=""),"",H102*'线体日汇总'!G38)</x:f>
        <x:v>25.760013625304136</x:v>
      </x:c>
      <x:c r="J102" s="12" t="n">
        <x:f>IF(OR(G102="",G102=0,I102=""),"",(I102-G102)/G102)</x:f>
        <x:v>0.15000060827250597</x:v>
      </x:c>
      <x:c r="K102" s="2" t="n">
        <x:v>1150</x:v>
      </x:c>
      <x:c r="L102" s="2" t="n">
        <x:v>11</x:v>
      </x:c>
      <x:c r="M102" s="12" t="n">
        <x:f>IF(OR(K102="",K102=0),"",L102/K102)</x:f>
        <x:v>0.009565217391304347</x:v>
      </x:c>
      <x:c r="N102" s="13" t="str">
        <x:v>加班占比异常</x:v>
      </x:c>
      <x:c r="O102" s="2" t="str">
        <x:v>PP-0923</x:v>
      </x:c>
    </x:row>
    <x:row r="103" ht="36" customHeight="1">
      <x:c r="A103" s="10" t="d">
        <x:v>2026-09-23T00:00:00.000Z</x:v>
      </x:c>
      <x:c r="B103" s="2" t="str">
        <x:v>D09</x:v>
      </x:c>
      <x:c r="C103" s="2" t="str">
        <x:v>P021</x:v>
      </x:c>
      <x:c r="D103" s="2" t="str">
        <x:v>WO-0923-09-02</x:v>
      </x:c>
      <x:c r="E103" s="2" t="n">
        <x:v>180</x:v>
      </x:c>
      <x:c r="F103" s="11" t="n">
        <x:v>0.1</x:v>
      </x:c>
      <x:c r="G103" s="11" t="n">
        <x:f>IF(F103="","",E103*F103)</x:f>
        <x:v>18</x:v>
      </x:c>
      <x:c r="H103" s="12" t="n">
        <x:f>IF(OR(G103="",'线体日汇总'!H38="",'线体日汇总'!H38=0),"",G103/'线体日汇总'!H38)</x:f>
        <x:v>0.3284671532846715</x:v>
      </x:c>
      <x:c r="I103" s="11" t="n">
        <x:f>IF(OR(H103="",'线体日汇总'!G38=""),"",H103*'线体日汇总'!G38)</x:f>
        <x:v>20.70001094890511</x:v>
      </x:c>
      <x:c r="J103" s="12" t="n">
        <x:f>IF(OR(G103="",G103=0,I103=""),"",(I103-G103)/G103)</x:f>
        <x:v>0.1500006082725061</x:v>
      </x:c>
      <x:c r="K103" s="2" t="n">
        <x:v>1070</x:v>
      </x:c>
      <x:c r="L103" s="2" t="n">
        <x:v>27</x:v>
      </x:c>
      <x:c r="M103" s="12" t="n">
        <x:f>IF(OR(K103="",K103=0),"",L103/K103)</x:f>
        <x:v>0.025233644859813085</x:v>
      </x:c>
      <x:c r="N103" s="13" t="str">
        <x:v>加班占比异常</x:v>
      </x:c>
      <x:c r="O103" s="2" t="str">
        <x:v>PP-0923</x:v>
      </x:c>
    </x:row>
    <x:row r="104" ht="36" customHeight="1">
      <x:c r="A104" s="10" t="d">
        <x:v>2026-09-23T00:00:00.000Z</x:v>
      </x:c>
      <x:c r="B104" s="2" t="str">
        <x:v>D09</x:v>
      </x:c>
      <x:c r="C104" s="2" t="str">
        <x:v>P022</x:v>
      </x:c>
      <x:c r="D104" s="2" t="str">
        <x:v>WO-0923-09-03</x:v>
      </x:c>
      <x:c r="E104" s="2" t="n">
        <x:v>120</x:v>
      </x:c>
      <x:c r="F104" s="11" t="n">
        <x:v>0.11999999999999998</x:v>
      </x:c>
      <x:c r="G104" s="11" t="n">
        <x:f>IF(F104="","",E104*F104)</x:f>
        <x:v>14.399999999999999</x:v>
      </x:c>
      <x:c r="H104" s="12" t="n">
        <x:f>IF(OR(G104="",'线体日汇总'!H38="",'线体日汇总'!H38=0),"",G104/'线体日汇总'!H38)</x:f>
        <x:v>0.2627737226277372</x:v>
      </x:c>
      <x:c r="I104" s="11" t="n">
        <x:f>IF(OR(H104="",'线体日汇总'!G38=""),"",H104*'线体日汇总'!G38)</x:f>
        <x:v>16.560008759124084</x:v>
      </x:c>
      <x:c r="J104" s="12" t="n">
        <x:f>IF(OR(G104="",G104=0,I104=""),"",(I104-G104)/G104)</x:f>
        <x:v>0.15000060827250597</x:v>
      </x:c>
      <x:c r="K104" s="2" t="n">
        <x:v>1310</x:v>
      </x:c>
      <x:c r="L104" s="2" t="n">
        <x:v>15</x:v>
      </x:c>
      <x:c r="M104" s="12" t="n">
        <x:f>IF(OR(K104="",K104=0),"",L104/K104)</x:f>
        <x:v>0.011450381679389313</x:v>
      </x:c>
      <x:c r="N104" s="13" t="str">
        <x:v>加班占比异常</x:v>
      </x:c>
      <x:c r="O104" s="2" t="str">
        <x:v>PP-0923</x:v>
      </x:c>
    </x:row>
    <x:row r="105" ht="36" customHeight="1">
      <x:c r="A105" s="10" t="d">
        <x:v>2026-09-23T00:00:00.000Z</x:v>
      </x:c>
      <x:c r="B105" s="2" t="str">
        <x:v>D10</x:v>
      </x:c>
      <x:c r="C105" s="2" t="str">
        <x:v>P022</x:v>
      </x:c>
      <x:c r="D105" s="2" t="str">
        <x:v>WO-0923-10-01</x:v>
      </x:c>
      <x:c r="E105" s="2" t="n">
        <x:v>220</x:v>
      </x:c>
      <x:c r="F105" s="11" t="n">
        <x:v>0.11999999999999998</x:v>
      </x:c>
      <x:c r="G105" s="11" t="n">
        <x:f>IF(F105="","",E105*F105)</x:f>
        <x:v>26.399999999999995</x:v>
      </x:c>
      <x:c r="H105" s="12" t="n">
        <x:f>IF(OR(G105="",'线体日汇总'!H39="",'线体日汇总'!H39=0),"",G105/'线体日汇总'!H39)</x:f>
        <x:v>0.2528735632183908</x:v>
      </x:c>
      <x:c r="I105" s="11" t="n">
        <x:f>IF(OR(H105="",'线体日汇总'!G39=""),"",H105*'线体日汇总'!G39)</x:f>
        <x:v>31.680008429118768</x:v>
      </x:c>
      <x:c r="J105" s="12" t="n">
        <x:f>IF(OR(G105="",G105=0,I105=""),"",(I105-G105)/G105)</x:f>
        <x:v>0.20000031928480205</x:v>
      </x:c>
      <x:c r="K105" s="2" t="n">
        <x:v>1020</x:v>
      </x:c>
      <x:c r="L105" s="2" t="n">
        <x:v>8</x:v>
      </x:c>
      <x:c r="M105" s="12" t="n">
        <x:f>IF(OR(K105="",K105=0),"",L105/K105)</x:f>
        <x:v>0.00784313725490196</x:v>
      </x:c>
      <x:c r="N105" s="13" t="str">
        <x:v>排期偏差异常</x:v>
      </x:c>
      <x:c r="O105" s="2" t="str">
        <x:v>PP-0923</x:v>
      </x:c>
    </x:row>
    <x:row r="106" ht="36" customHeight="1">
      <x:c r="A106" s="10" t="d">
        <x:v>2026-09-23T00:00:00.000Z</x:v>
      </x:c>
      <x:c r="B106" s="2" t="str">
        <x:v>D10</x:v>
      </x:c>
      <x:c r="C106" s="2" t="str">
        <x:v>P023</x:v>
      </x:c>
      <x:c r="D106" s="2" t="str">
        <x:v>WO-0923-10-02</x:v>
      </x:c>
      <x:c r="E106" s="2" t="n">
        <x:v>360</x:v>
      </x:c>
      <x:c r="F106" s="11" t="n">
        <x:v>0.15</x:v>
      </x:c>
      <x:c r="G106" s="11" t="n">
        <x:f>IF(F106="","",E106*F106)</x:f>
        <x:v>54</x:v>
      </x:c>
      <x:c r="H106" s="12" t="n">
        <x:f>IF(OR(G106="",'线体日汇总'!H39="",'线体日汇总'!H39=0),"",G106/'线体日汇总'!H39)</x:f>
        <x:v>0.5172413793103449</x:v>
      </x:c>
      <x:c r="I106" s="11" t="n">
        <x:f>IF(OR(H106="",'线体日汇总'!G39=""),"",H106*'线体日汇总'!G39)</x:f>
        <x:v>64.80001724137931</x:v>
      </x:c>
      <x:c r="J106" s="12" t="n">
        <x:f>IF(OR(G106="",G106=0,I106=""),"",(I106-G106)/G106)</x:f>
        <x:v>0.200000319284802</x:v>
      </x:c>
      <x:c r="K106" s="2" t="n">
        <x:v>590</x:v>
      </x:c>
      <x:c r="L106" s="2" t="n">
        <x:v>7</x:v>
      </x:c>
      <x:c r="M106" s="12" t="n">
        <x:f>IF(OR(K106="",K106=0),"",L106/K106)</x:f>
        <x:v>0.011864406779661017</x:v>
      </x:c>
      <x:c r="N106" s="13" t="str">
        <x:v>排期偏差异常</x:v>
      </x:c>
      <x:c r="O106" s="2" t="str">
        <x:v>PP-0923</x:v>
      </x:c>
    </x:row>
    <x:row r="107" ht="36" customHeight="1">
      <x:c r="A107" s="10" t="d">
        <x:v>2026-09-23T00:00:00.000Z</x:v>
      </x:c>
      <x:c r="B107" s="2" t="str">
        <x:v>D10</x:v>
      </x:c>
      <x:c r="C107" s="2" t="str">
        <x:v>P024</x:v>
      </x:c>
      <x:c r="D107" s="2" t="str">
        <x:v>WO-0923-10-03</x:v>
      </x:c>
      <x:c r="E107" s="2" t="n">
        <x:v>120</x:v>
      </x:c>
      <x:c r="F107" s="11" t="n">
        <x:v>0.2</x:v>
      </x:c>
      <x:c r="G107" s="11" t="n">
        <x:f>IF(F107="","",E107*F107)</x:f>
        <x:v>24</x:v>
      </x:c>
      <x:c r="H107" s="12" t="n">
        <x:f>IF(OR(G107="",'线体日汇总'!H39="",'线体日汇总'!H39=0),"",G107/'线体日汇总'!H39)</x:f>
        <x:v>0.2298850574712644</x:v>
      </x:c>
      <x:c r="I107" s="11" t="n">
        <x:f>IF(OR(H107="",'线体日汇总'!G39=""),"",H107*'线体日汇总'!G39)</x:f>
        <x:v>28.80000766283525</x:v>
      </x:c>
      <x:c r="J107" s="12" t="n">
        <x:f>IF(OR(G107="",G107=0,I107=""),"",(I107-G107)/G107)</x:f>
        <x:v>0.20000031928480203</x:v>
      </x:c>
      <x:c r="K107" s="2" t="n">
        <x:v>1050</x:v>
      </x:c>
      <x:c r="L107" s="2" t="n">
        <x:v>11</x:v>
      </x:c>
      <x:c r="M107" s="12" t="n">
        <x:f>IF(OR(K107="",K107=0),"",L107/K107)</x:f>
        <x:v>0.010476190476190476</x:v>
      </x:c>
      <x:c r="N107" s="13" t="str">
        <x:v>排期偏差异常</x:v>
      </x:c>
      <x:c r="O107" s="2" t="str">
        <x:v>PP-0923</x:v>
      </x:c>
    </x:row>
    <x:row r="108" ht="36" customHeight="1">
      <x:c r="A108" s="10" t="d">
        <x:v>2026-09-23T00:00:00.000Z</x:v>
      </x:c>
      <x:c r="B108" s="2" t="str">
        <x:v>D11</x:v>
      </x:c>
      <x:c r="C108" s="2" t="str">
        <x:v>P024</x:v>
      </x:c>
      <x:c r="D108" s="2" t="str">
        <x:v>WO-0923-11-01</x:v>
      </x:c>
      <x:c r="E108" s="2" t="n">
        <x:v>160</x:v>
      </x:c>
      <x:c r="F108" s="11" t="n">
        <x:v>0.2</x:v>
      </x:c>
      <x:c r="G108" s="11" t="n">
        <x:f>IF(F108="","",E108*F108)</x:f>
        <x:v>32</x:v>
      </x:c>
      <x:c r="H108" s="12" t="n">
        <x:f>IF(OR(G108="",'线体日汇总'!H40="",'线体日汇总'!H40=0),"",G108/'线体日汇总'!H40)</x:f>
        <x:v>0.41884816753926696</x:v>
      </x:c>
      <x:c r="I108" s="11" t="n">
        <x:f>IF(OR(H108="",'线体日汇总'!G40=""),"",H108*'线体日汇总'!G40)</x:f>
        <x:v>25.599999999999998</x:v>
      </x:c>
      <x:c r="J108" s="12" t="n">
        <x:f>IF(OR(G108="",G108=0,I108=""),"",(I108-G108)/G108)</x:f>
        <x:v>-0.20000000000000007</x:v>
      </x:c>
      <x:c r="K108" s="2" t="n">
        <x:v>1060</x:v>
      </x:c>
      <x:c r="L108" s="2" t="n">
        <x:v>6</x:v>
      </x:c>
      <x:c r="M108" s="12" t="n">
        <x:f>IF(OR(K108="",K108=0),"",L108/K108)</x:f>
        <x:v>0.005660377358490566</x:v>
      </x:c>
      <x:c r="N108" s="13" t="str">
        <x:v>正常</x:v>
      </x:c>
      <x:c r="O108" s="2" t="str">
        <x:v>PP-0923</x:v>
      </x:c>
    </x:row>
    <x:row r="109" ht="36" customHeight="1">
      <x:c r="A109" s="10" t="d">
        <x:v>2026-09-23T00:00:00.000Z</x:v>
      </x:c>
      <x:c r="B109" s="2" t="str">
        <x:v>D11</x:v>
      </x:c>
      <x:c r="C109" s="2" t="str">
        <x:v>P025</x:v>
      </x:c>
      <x:c r="D109" s="2" t="str">
        <x:v>WO-0923-11-02</x:v>
      </x:c>
      <x:c r="E109" s="2" t="n">
        <x:v>340</x:v>
      </x:c>
      <x:c r="F109" s="11" t="n">
        <x:v>0.06</x:v>
      </x:c>
      <x:c r="G109" s="11" t="n">
        <x:f>IF(F109="","",E109*F109)</x:f>
        <x:v>20.4</x:v>
      </x:c>
      <x:c r="H109" s="12" t="n">
        <x:f>IF(OR(G109="",'线体日汇总'!H40="",'线体日汇总'!H40=0),"",G109/'线体日汇总'!H40)</x:f>
        <x:v>0.26701570680628267</x:v>
      </x:c>
      <x:c r="I109" s="11" t="n">
        <x:f>IF(OR(H109="",'线体日汇总'!G40=""),"",H109*'线体日汇总'!G40)</x:f>
        <x:v>16.319999999999997</x:v>
      </x:c>
      <x:c r="J109" s="12" t="n">
        <x:f>IF(OR(G109="",G109=0,I109=""),"",(I109-G109)/G109)</x:f>
        <x:v>-0.2000000000000001</x:v>
      </x:c>
      <x:c r="K109" s="2" t="n">
        <x:v>1140</x:v>
      </x:c>
      <x:c r="L109" s="2" t="n">
        <x:v>9</x:v>
      </x:c>
      <x:c r="M109" s="12" t="n">
        <x:f>IF(OR(K109="",K109=0),"",L109/K109)</x:f>
        <x:v>0.007894736842105263</x:v>
      </x:c>
      <x:c r="N109" s="13" t="str">
        <x:v>正常</x:v>
      </x:c>
      <x:c r="O109" s="2" t="str">
        <x:v>PP-0923</x:v>
      </x:c>
    </x:row>
    <x:row r="110" ht="36" customHeight="1">
      <x:c r="A110" s="10" t="d">
        <x:v>2026-09-23T00:00:00.000Z</x:v>
      </x:c>
      <x:c r="B110" s="2" t="str">
        <x:v>D11</x:v>
      </x:c>
      <x:c r="C110" s="2" t="str">
        <x:v>P026</x:v>
      </x:c>
      <x:c r="D110" s="2" t="str">
        <x:v>WO-0923-11-03</x:v>
      </x:c>
      <x:c r="E110" s="2" t="n">
        <x:v>300</x:v>
      </x:c>
      <x:c r="F110" s="11" t="n">
        <x:v>0.08</x:v>
      </x:c>
      <x:c r="G110" s="11" t="n">
        <x:f>IF(F110="","",E110*F110)</x:f>
        <x:v>24</x:v>
      </x:c>
      <x:c r="H110" s="12" t="n">
        <x:f>IF(OR(G110="",'线体日汇总'!H40="",'线体日汇总'!H40=0),"",G110/'线体日汇总'!H40)</x:f>
        <x:v>0.31413612565445026</x:v>
      </x:c>
      <x:c r="I110" s="11" t="n">
        <x:f>IF(OR(H110="",'线体日汇总'!G40=""),"",H110*'线体日汇总'!G40)</x:f>
        <x:v>19.200000000000003</x:v>
      </x:c>
      <x:c r="J110" s="12" t="n">
        <x:f>IF(OR(G110="",G110=0,I110=""),"",(I110-G110)/G110)</x:f>
        <x:v>-0.19999999999999987</x:v>
      </x:c>
      <x:c r="K110" s="2" t="n">
        <x:v>770</x:v>
      </x:c>
      <x:c r="L110" s="2" t="n">
        <x:v>6</x:v>
      </x:c>
      <x:c r="M110" s="12" t="n">
        <x:f>IF(OR(K110="",K110=0),"",L110/K110)</x:f>
        <x:v>0.007792207792207792</x:v>
      </x:c>
      <x:c r="N110" s="13" t="str">
        <x:v>正常</x:v>
      </x:c>
      <x:c r="O110" s="2" t="str">
        <x:v>PP-0923</x:v>
      </x:c>
    </x:row>
    <x:row r="111" ht="36" customHeight="1">
      <x:c r="A111" s="10" t="d">
        <x:v>2026-09-23T00:00:00.000Z</x:v>
      </x:c>
      <x:c r="B111" s="2" t="str">
        <x:v>D12</x:v>
      </x:c>
      <x:c r="C111" s="2" t="str">
        <x:v>P026</x:v>
      </x:c>
      <x:c r="D111" s="2" t="str">
        <x:v>WO-0923-12-01R</x:v>
      </x:c>
      <x:c r="E111" s="2" t="n">
        <x:v>360</x:v>
      </x:c>
      <x:c r="F111" s="11" t="n">
        <x:v>0.08</x:v>
      </x:c>
      <x:c r="G111" s="11" t="n">
        <x:f>IF(F111="","",E111*F111)</x:f>
        <x:v>28.8</x:v>
      </x:c>
      <x:c r="H111" s="12" t="n">
        <x:f>IF(OR(G111="",'线体日汇总'!H41="",'线体日汇总'!H41=0),"",G111/'线体日汇总'!H41)</x:f>
        <x:v>0.28346456692913385</x:v>
      </x:c>
      <x:c r="I111" s="11" t="n">
        <x:f>IF(OR(H111="",'线体日汇总'!G41=""),"",H111*'线体日汇总'!G41)</x:f>
        <x:v>38.88000000000001</x:v>
      </x:c>
      <x:c r="J111" s="12" t="n">
        <x:f>IF(OR(G111="",G111=0,I111=""),"",(I111-G111)/G111)</x:f>
        <x:v>0.3500000000000003</x:v>
      </x:c>
      <x:c r="K111" s="2" t="n">
        <x:v>1060</x:v>
      </x:c>
      <x:c r="L111" s="2" t="n">
        <x:v>9</x:v>
      </x:c>
      <x:c r="M111" s="12" t="n">
        <x:f>IF(OR(K111="",K111=0),"",L111/K111)</x:f>
        <x:v>0.008490566037735849</x:v>
      </x:c>
      <x:c r="N111" s="13" t="str">
        <x:v>排期偏差异常；加班占比异常</x:v>
      </x:c>
      <x:c r="O111" s="2" t="str">
        <x:v>PC-022</x:v>
      </x:c>
    </x:row>
    <x:row r="112" ht="36" customHeight="1">
      <x:c r="A112" s="10" t="d">
        <x:v>2026-09-23T00:00:00.000Z</x:v>
      </x:c>
      <x:c r="B112" s="2" t="str">
        <x:v>D12</x:v>
      </x:c>
      <x:c r="C112" s="2" t="str">
        <x:v>P027</x:v>
      </x:c>
      <x:c r="D112" s="2" t="str">
        <x:v>WO-0923-12-02</x:v>
      </x:c>
      <x:c r="E112" s="2" t="n">
        <x:v>320</x:v>
      </x:c>
      <x:c r="F112" s="11" t="n">
        <x:v>0.1</x:v>
      </x:c>
      <x:c r="G112" s="11" t="n">
        <x:f>IF(F112="","",E112*F112)</x:f>
        <x:v>32</x:v>
      </x:c>
      <x:c r="H112" s="12" t="n">
        <x:f>IF(OR(G112="",'线体日汇总'!H41="",'线体日汇总'!H41=0),"",G112/'线体日汇总'!H41)</x:f>
        <x:v>0.31496062992125984</x:v>
      </x:c>
      <x:c r="I112" s="11" t="n">
        <x:f>IF(OR(H112="",'线体日汇总'!G41=""),"",H112*'线体日汇总'!G41)</x:f>
        <x:v>43.20000000000001</x:v>
      </x:c>
      <x:c r="J112" s="12" t="n">
        <x:f>IF(OR(G112="",G112=0,I112=""),"",(I112-G112)/G112)</x:f>
        <x:v>0.3500000000000003</x:v>
      </x:c>
      <x:c r="K112" s="2" t="n">
        <x:v>1120</x:v>
      </x:c>
      <x:c r="L112" s="2" t="n">
        <x:v>8</x:v>
      </x:c>
      <x:c r="M112" s="12" t="n">
        <x:f>IF(OR(K112="",K112=0),"",L112/K112)</x:f>
        <x:v>0.007142857142857143</x:v>
      </x:c>
      <x:c r="N112" s="13" t="str">
        <x:v>排期偏差异常；加班占比异常</x:v>
      </x:c>
      <x:c r="O112" s="2" t="str">
        <x:v>PP-0923</x:v>
      </x:c>
    </x:row>
    <x:row r="113" ht="36" customHeight="1">
      <x:c r="A113" s="10" t="d">
        <x:v>2026-09-23T00:00:00.000Z</x:v>
      </x:c>
      <x:c r="B113" s="2" t="str">
        <x:v>D12</x:v>
      </x:c>
      <x:c r="C113" s="2" t="str">
        <x:v>P028</x:v>
      </x:c>
      <x:c r="D113" s="2" t="str">
        <x:v>WO-0923-12-03</x:v>
      </x:c>
      <x:c r="E113" s="2" t="n">
        <x:v>340</x:v>
      </x:c>
      <x:c r="F113" s="11" t="n">
        <x:v>0.11999999999999998</x:v>
      </x:c>
      <x:c r="G113" s="11" t="n">
        <x:f>IF(F113="","",E113*F113)</x:f>
        <x:v>40.8</x:v>
      </x:c>
      <x:c r="H113" s="12" t="n">
        <x:f>IF(OR(G113="",'线体日汇总'!H41="",'线体日汇总'!H41=0),"",G113/'线体日汇总'!H41)</x:f>
        <x:v>0.4015748031496063</x:v>
      </x:c>
      <x:c r="I113" s="11" t="n">
        <x:f>IF(OR(H113="",'线体日汇总'!G41=""),"",H113*'线体日汇总'!G41)</x:f>
        <x:v>55.08000000000001</x:v>
      </x:c>
      <x:c r="J113" s="12" t="n">
        <x:f>IF(OR(G113="",G113=0,I113=""),"",(I113-G113)/G113)</x:f>
        <x:v>0.3500000000000004</x:v>
      </x:c>
      <x:c r="K113" s="2" t="n">
        <x:v>1330</x:v>
      </x:c>
      <x:c r="L113" s="2" t="n">
        <x:v>11</x:v>
      </x:c>
      <x:c r="M113" s="12" t="n">
        <x:f>IF(OR(K113="",K113=0),"",L113/K113)</x:f>
        <x:v>0.008270676691729323</x:v>
      </x:c>
      <x:c r="N113" s="13" t="str">
        <x:v>排期偏差异常；加班占比异常</x:v>
      </x:c>
      <x:c r="O113" s="2" t="str">
        <x:v>PC-023</x:v>
      </x:c>
    </x:row>
    <x:row r="114" ht="36" customHeight="1">
      <x:c r="A114" s="10" t="d">
        <x:v>2026-09-24T00:00:00.000Z</x:v>
      </x:c>
      <x:c r="B114" s="2" t="str">
        <x:v>D01</x:v>
      </x:c>
      <x:c r="C114" s="2" t="str">
        <x:v>P005</x:v>
      </x:c>
      <x:c r="D114" s="2" t="str">
        <x:v>WO-0924-01-01</x:v>
      </x:c>
      <x:c r="E114" s="2" t="n">
        <x:v>220</x:v>
      </x:c>
      <x:c r="F114" s="11" t="n">
        <x:v>0.15</x:v>
      </x:c>
      <x:c r="G114" s="11" t="n">
        <x:f>IF(F114="","",E114*F114)</x:f>
        <x:v>33</x:v>
      </x:c>
      <x:c r="H114" s="12" t="n">
        <x:f>IF(OR(G114="",'线体日汇总'!H42="",'线体日汇总'!H42=0),"",G114/'线体日汇总'!H42)</x:f>
        <x:v>0.3016453382084095</x:v>
      </x:c>
      <x:c r="I114" s="11" t="n">
        <x:f>IF(OR(H114="",'线体日汇总'!G42=""),"",H114*'线体日汇总'!G42)</x:f>
        <x:v>23.099999999999998</x:v>
      </x:c>
      <x:c r="J114" s="12" t="n">
        <x:f>IF(OR(G114="",G114=0,I114=""),"",(I114-G114)/G114)</x:f>
        <x:v>-0.30000000000000004</x:v>
      </x:c>
      <x:c r="K114" s="2" t="n">
        <x:v>1100</x:v>
      </x:c>
      <x:c r="L114" s="2" t="n">
        <x:v>7</x:v>
      </x:c>
      <x:c r="M114" s="12" t="n">
        <x:f>IF(OR(K114="",K114=0),"",L114/K114)</x:f>
        <x:v>0.006363636363636364</x:v>
      </x:c>
      <x:c r="N114" s="13" t="str">
        <x:v>排期偏差异常</x:v>
      </x:c>
      <x:c r="O114" s="2" t="str">
        <x:v>PP-0924</x:v>
      </x:c>
    </x:row>
    <x:row r="115" ht="36" customHeight="1">
      <x:c r="A115" s="10" t="d">
        <x:v>2026-09-24T00:00:00.000Z</x:v>
      </x:c>
      <x:c r="B115" s="2" t="str">
        <x:v>D01</x:v>
      </x:c>
      <x:c r="C115" s="2" t="str">
        <x:v>P006</x:v>
      </x:c>
      <x:c r="D115" s="2" t="str">
        <x:v>WO-0924-01-02</x:v>
      </x:c>
      <x:c r="E115" s="2" t="n">
        <x:v>340</x:v>
      </x:c>
      <x:c r="F115" s="11" t="n">
        <x:v>0.2</x:v>
      </x:c>
      <x:c r="G115" s="11" t="n">
        <x:f>IF(F115="","",E115*F115)</x:f>
        <x:v>68</x:v>
      </x:c>
      <x:c r="H115" s="12" t="n">
        <x:f>IF(OR(G115="",'线体日汇总'!H42="",'线体日汇总'!H42=0),"",G115/'线体日汇总'!H42)</x:f>
        <x:v>0.6215722120658135</x:v>
      </x:c>
      <x:c r="I115" s="11" t="n">
        <x:f>IF(OR(H115="",'线体日汇总'!G42=""),"",H115*'线体日汇总'!G42)</x:f>
        <x:v>47.599999999999994</x:v>
      </x:c>
      <x:c r="J115" s="12" t="n">
        <x:f>IF(OR(G115="",G115=0,I115=""),"",(I115-G115)/G115)</x:f>
        <x:v>-0.3000000000000001</x:v>
      </x:c>
      <x:c r="K115" s="2" t="n">
        <x:v>1170</x:v>
      </x:c>
      <x:c r="L115" s="2" t="n">
        <x:v>5</x:v>
      </x:c>
      <x:c r="M115" s="12" t="n">
        <x:f>IF(OR(K115="",K115=0),"",L115/K115)</x:f>
        <x:v>0.004273504273504274</x:v>
      </x:c>
      <x:c r="N115" s="13" t="str">
        <x:v>排期偏差异常</x:v>
      </x:c>
      <x:c r="O115" s="2" t="str">
        <x:v>PP-0924</x:v>
      </x:c>
    </x:row>
    <x:row r="116" ht="36" customHeight="1">
      <x:c r="A116" s="10" t="d">
        <x:v>2026-09-24T00:00:00.000Z</x:v>
      </x:c>
      <x:c r="B116" s="2" t="str">
        <x:v>D01</x:v>
      </x:c>
      <x:c r="C116" s="2" t="str">
        <x:v>P007</x:v>
      </x:c>
      <x:c r="D116" s="2" t="str">
        <x:v>WO-0924-01-03</x:v>
      </x:c>
      <x:c r="E116" s="2" t="n">
        <x:v>140</x:v>
      </x:c>
      <x:c r="F116" s="11" t="n">
        <x:v>0.06</x:v>
      </x:c>
      <x:c r="G116" s="11" t="n">
        <x:f>IF(F116="","",E116*F116)</x:f>
        <x:v>8.4</x:v>
      </x:c>
      <x:c r="H116" s="12" t="n">
        <x:f>IF(OR(G116="",'线体日汇总'!H42="",'线体日汇总'!H42=0),"",G116/'线体日汇总'!H42)</x:f>
        <x:v>0.07678244972577697</x:v>
      </x:c>
      <x:c r="I116" s="11" t="n">
        <x:f>IF(OR(H116="",'线体日汇总'!G42=""),"",H116*'线体日汇总'!G42)</x:f>
        <x:v>5.88</x:v>
      </x:c>
      <x:c r="J116" s="12" t="n">
        <x:f>IF(OR(G116="",G116=0,I116=""),"",(I116-G116)/G116)</x:f>
        <x:v>-0.30000000000000004</x:v>
      </x:c>
      <x:c r="K116" s="2" t="n">
        <x:v>950</x:v>
      </x:c>
      <x:c r="L116" s="2" t="n">
        <x:v>9</x:v>
      </x:c>
      <x:c r="M116" s="12" t="n">
        <x:f>IF(OR(K116="",K116=0),"",L116/K116)</x:f>
        <x:v>0.009473684210526316</x:v>
      </x:c>
      <x:c r="N116" s="13" t="str">
        <x:v>排期偏差异常</x:v>
      </x:c>
      <x:c r="O116" s="2" t="str">
        <x:v>PP-0924</x:v>
      </x:c>
    </x:row>
    <x:row r="117" ht="36" customHeight="1">
      <x:c r="A117" s="10" t="d">
        <x:v>2026-09-24T00:00:00.000Z</x:v>
      </x:c>
      <x:c r="B117" s="2" t="str">
        <x:v>D02</x:v>
      </x:c>
      <x:c r="C117" s="2" t="str">
        <x:v>P007</x:v>
      </x:c>
      <x:c r="D117" s="2" t="str">
        <x:v>WO-0924-02-01</x:v>
      </x:c>
      <x:c r="E117" s="2" t="n">
        <x:v>320</x:v>
      </x:c>
      <x:c r="F117" s="11" t="n">
        <x:v>0.06</x:v>
      </x:c>
      <x:c r="G117" s="11" t="n">
        <x:f>IF(F117="","",E117*F117)</x:f>
        <x:v>19.2</x:v>
      </x:c>
      <x:c r="H117" s="12" t="n">
        <x:f>IF(OR(G117="",'线体日汇总'!H43="",'线体日汇总'!H43=0),"",G117/'线体日汇总'!H43)</x:f>
        <x:v>0.4403669724770642</x:v>
      </x:c>
      <x:c r="I117" s="11" t="n">
        <x:f>IF(OR(H117="",'线体日汇总'!G43=""),"",H117*'线体日汇总'!G43)</x:f>
        <x:v>18.24</x:v>
      </x:c>
      <x:c r="J117" s="12" t="n">
        <x:f>IF(OR(G117="",G117=0,I117=""),"",(I117-G117)/G117)</x:f>
        <x:v>-0.050000000000000044</x:v>
      </x:c>
      <x:c r="K117" s="2" t="n">
        <x:v>1130</x:v>
      </x:c>
      <x:c r="L117" s="2" t="n">
        <x:v>11</x:v>
      </x:c>
      <x:c r="M117" s="12" t="n">
        <x:f>IF(OR(K117="",K117=0),"",L117/K117)</x:f>
        <x:v>0.009734513274336283</x:v>
      </x:c>
      <x:c r="N117" s="13" t="str">
        <x:v>正常</x:v>
      </x:c>
      <x:c r="O117" s="2" t="str">
        <x:v>PP-0924</x:v>
      </x:c>
    </x:row>
    <x:row r="118" ht="36" customHeight="1">
      <x:c r="A118" s="10" t="d">
        <x:v>2026-09-24T00:00:00.000Z</x:v>
      </x:c>
      <x:c r="B118" s="2" t="str">
        <x:v>D02</x:v>
      </x:c>
      <x:c r="C118" s="2" t="str">
        <x:v>P008</x:v>
      </x:c>
      <x:c r="D118" s="2" t="str">
        <x:v>WO-0924-02-02</x:v>
      </x:c>
      <x:c r="E118" s="2" t="n">
        <x:v>140</x:v>
      </x:c>
      <x:c r="F118" s="11" t="n">
        <x:v>0.060000000000000005</x:v>
      </x:c>
      <x:c r="G118" s="11" t="n">
        <x:f>IF(F118="","",E118*F118)</x:f>
        <x:v>8.4</x:v>
      </x:c>
      <x:c r="H118" s="12" t="n">
        <x:f>IF(OR(G118="",'线体日汇总'!H43="",'线体日汇总'!H43=0),"",G118/'线体日汇总'!H43)</x:f>
        <x:v>0.1926605504587156</x:v>
      </x:c>
      <x:c r="I118" s="11" t="n">
        <x:f>IF(OR(H118="",'线体日汇总'!G43=""),"",H118*'线体日汇总'!G43)</x:f>
        <x:v>7.98</x:v>
      </x:c>
      <x:c r="J118" s="12" t="n">
        <x:f>IF(OR(G118="",G118=0,I118=""),"",(I118-G118)/G118)</x:f>
        <x:v>-0.04999999999999999</x:v>
      </x:c>
      <x:c r="K118" s="2" t="n">
        <x:v>1090</x:v>
      </x:c>
      <x:c r="L118" s="2" t="n">
        <x:v>8</x:v>
      </x:c>
      <x:c r="M118" s="12" t="n">
        <x:f>IF(OR(K118="",K118=0),"",L118/K118)</x:f>
        <x:v>0.007339449541284404</x:v>
      </x:c>
      <x:c r="N118" s="13" t="str">
        <x:v>正常</x:v>
      </x:c>
      <x:c r="O118" s="2" t="str">
        <x:v>PP-0924</x:v>
      </x:c>
    </x:row>
    <x:row r="119" ht="36" customHeight="1">
      <x:c r="A119" s="10" t="d">
        <x:v>2026-09-24T00:00:00.000Z</x:v>
      </x:c>
      <x:c r="B119" s="2" t="str">
        <x:v>D02</x:v>
      </x:c>
      <x:c r="C119" s="2" t="str">
        <x:v>P009</x:v>
      </x:c>
      <x:c r="D119" s="2" t="str">
        <x:v>WO-0924-02-03</x:v>
      </x:c>
      <x:c r="E119" s="2" t="n">
        <x:v>160</x:v>
      </x:c>
      <x:c r="F119" s="11" t="n">
        <x:v>0.1</x:v>
      </x:c>
      <x:c r="G119" s="11" t="n">
        <x:f>IF(F119="","",E119*F119)</x:f>
        <x:v>16</x:v>
      </x:c>
      <x:c r="H119" s="12" t="n">
        <x:f>IF(OR(G119="",'线体日汇总'!H43="",'线体日汇总'!H43=0),"",G119/'线体日汇总'!H43)</x:f>
        <x:v>0.36697247706422015</x:v>
      </x:c>
      <x:c r="I119" s="11" t="n">
        <x:f>IF(OR(H119="",'线体日汇总'!G43=""),"",H119*'线体日汇总'!G43)</x:f>
        <x:v>15.2</x:v>
      </x:c>
      <x:c r="J119" s="12" t="n">
        <x:f>IF(OR(G119="",G119=0,I119=""),"",(I119-G119)/G119)</x:f>
        <x:v>-0.050000000000000044</x:v>
      </x:c>
      <x:c r="K119" s="2" t="n">
        <x:v>1000</x:v>
      </x:c>
      <x:c r="L119" s="2" t="n">
        <x:v>7</x:v>
      </x:c>
      <x:c r="M119" s="12" t="n">
        <x:f>IF(OR(K119="",K119=0),"",L119/K119)</x:f>
        <x:v>0.007</x:v>
      </x:c>
      <x:c r="N119" s="13" t="str">
        <x:v>正常</x:v>
      </x:c>
      <x:c r="O119" s="2" t="str">
        <x:v>PP-0924</x:v>
      </x:c>
    </x:row>
    <x:row r="120" ht="36" customHeight="1">
      <x:c r="A120" s="10" t="d">
        <x:v>2026-09-24T00:00:00.000Z</x:v>
      </x:c>
      <x:c r="B120" s="2" t="str">
        <x:v>D03</x:v>
      </x:c>
      <x:c r="C120" s="2" t="str">
        <x:v>P009</x:v>
      </x:c>
      <x:c r="D120" s="2" t="str">
        <x:v>WO-0924-03-01</x:v>
      </x:c>
      <x:c r="E120" s="2" t="n">
        <x:v>260</x:v>
      </x:c>
      <x:c r="F120" s="11" t="n">
        <x:v>0.1</x:v>
      </x:c>
      <x:c r="G120" s="11" t="n">
        <x:f>IF(F120="","",E120*F120)</x:f>
        <x:v>26</x:v>
      </x:c>
      <x:c r="H120" s="12" t="n">
        <x:f>IF(OR(G120="",'线体日汇总'!H44="",'线体日汇总'!H44=0),"",G120/'线体日汇总'!H44)</x:f>
        <x:v>0.30660377358490565</x:v>
      </x:c>
      <x:c r="I120" s="11" t="n">
        <x:f>IF(OR(H120="",'线体日汇总'!G44=""),"",H120*'线体日汇总'!G44)</x:f>
        <x:v>27.299989779874213</x:v>
      </x:c>
      <x:c r="J120" s="12" t="n">
        <x:f>IF(OR(G120="",G120=0,I120=""),"",(I120-G120)/G120)</x:f>
        <x:v>0.04999960691823897</x:v>
      </x:c>
      <x:c r="K120" s="2" t="n">
        <x:v>750</x:v>
      </x:c>
      <x:c r="L120" s="2" t="n">
        <x:v>4</x:v>
      </x:c>
      <x:c r="M120" s="12" t="n">
        <x:f>IF(OR(K120="",K120=0),"",L120/K120)</x:f>
        <x:v>0.005333333333333333</x:v>
      </x:c>
      <x:c r="N120" s="13" t="str">
        <x:v>加班占比异常</x:v>
      </x:c>
      <x:c r="O120" s="2" t="str">
        <x:v>PP-0924</x:v>
      </x:c>
    </x:row>
    <x:row r="121" ht="36" customHeight="1">
      <x:c r="A121" s="10" t="d">
        <x:v>2026-09-24T00:00:00.000Z</x:v>
      </x:c>
      <x:c r="B121" s="2" t="str">
        <x:v>D03</x:v>
      </x:c>
      <x:c r="C121" s="2" t="str">
        <x:v>P010</x:v>
      </x:c>
      <x:c r="D121" s="2" t="str">
        <x:v>WO-0924-03-02</x:v>
      </x:c>
      <x:c r="E121" s="2" t="n">
        <x:v>240</x:v>
      </x:c>
      <x:c r="F121" s="11" t="n">
        <x:v>0.11999999999999998</x:v>
      </x:c>
      <x:c r="G121" s="11" t="n">
        <x:f>IF(F121="","",E121*F121)</x:f>
        <x:v>28.799999999999997</x:v>
      </x:c>
      <x:c r="H121" s="12" t="n">
        <x:f>IF(OR(G121="",'线体日汇总'!H44="",'线体日汇总'!H44=0),"",G121/'线体日汇总'!H44)</x:f>
        <x:v>0.33962264150943394</x:v>
      </x:c>
      <x:c r="I121" s="11" t="n">
        <x:f>IF(OR(H121="",'线体日汇总'!G44=""),"",H121*'线体日汇总'!G44)</x:f>
        <x:v>30.239988679245283</x:v>
      </x:c>
      <x:c r="J121" s="12" t="n">
        <x:f>IF(OR(G121="",G121=0,I121=""),"",(I121-G121)/G121)</x:f>
        <x:v>0.049999606918239084</x:v>
      </x:c>
      <x:c r="K121" s="2" t="n">
        <x:v>860</x:v>
      </x:c>
      <x:c r="L121" s="2" t="n">
        <x:v>9</x:v>
      </x:c>
      <x:c r="M121" s="12" t="n">
        <x:f>IF(OR(K121="",K121=0),"",L121/K121)</x:f>
        <x:v>0.010465116279069767</x:v>
      </x:c>
      <x:c r="N121" s="13" t="str">
        <x:v>加班占比异常</x:v>
      </x:c>
      <x:c r="O121" s="2" t="str">
        <x:v>PP-0924</x:v>
      </x:c>
    </x:row>
    <x:row r="122" ht="36" customHeight="1">
      <x:c r="A122" s="10" t="d">
        <x:v>2026-09-24T00:00:00.000Z</x:v>
      </x:c>
      <x:c r="B122" s="2" t="str">
        <x:v>D03</x:v>
      </x:c>
      <x:c r="C122" s="2" t="str">
        <x:v>P011</x:v>
      </x:c>
      <x:c r="D122" s="2" t="str">
        <x:v>WO-0924-03-03</x:v>
      </x:c>
      <x:c r="E122" s="2" t="n">
        <x:v>200</x:v>
      </x:c>
      <x:c r="F122" s="11" t="n">
        <x:v>0.15</x:v>
      </x:c>
      <x:c r="G122" s="11" t="n">
        <x:f>IF(F122="","",E122*F122)</x:f>
        <x:v>30</x:v>
      </x:c>
      <x:c r="H122" s="12" t="n">
        <x:f>IF(OR(G122="",'线体日汇总'!H44="",'线体日汇总'!H44=0),"",G122/'线体日汇总'!H44)</x:f>
        <x:v>0.3537735849056604</x:v>
      </x:c>
      <x:c r="I122" s="11" t="n">
        <x:f>IF(OR(H122="",'线体日汇总'!G44=""),"",H122*'线体日汇总'!G44)</x:f>
        <x:v>31.499988207547176</x:v>
      </x:c>
      <x:c r="J122" s="12" t="n">
        <x:f>IF(OR(G122="",G122=0,I122=""),"",(I122-G122)/G122)</x:f>
        <x:v>0.0499996069182392</x:v>
      </x:c>
      <x:c r="K122" s="2" t="n">
        <x:v>910</x:v>
      </x:c>
      <x:c r="L122" s="2" t="n">
        <x:v>34</x:v>
      </x:c>
      <x:c r="M122" s="12" t="n">
        <x:f>IF(OR(K122="",K122=0),"",L122/K122)</x:f>
        <x:v>0.03736263736263736</x:v>
      </x:c>
      <x:c r="N122" s="13" t="str">
        <x:v>加班占比异常；质量异常</x:v>
      </x:c>
      <x:c r="O122" s="2" t="str">
        <x:v>PP-0924</x:v>
      </x:c>
    </x:row>
    <x:row r="123" ht="36" customHeight="1">
      <x:c r="A123" s="10" t="d">
        <x:v>2026-09-24T00:00:00.000Z</x:v>
      </x:c>
      <x:c r="B123" s="2" t="str">
        <x:v>D04</x:v>
      </x:c>
      <x:c r="C123" s="2" t="str">
        <x:v>P011</x:v>
      </x:c>
      <x:c r="D123" s="2" t="str">
        <x:v>WO-0924-04-01</x:v>
      </x:c>
      <x:c r="E123" s="2" t="n">
        <x:v>320</x:v>
      </x:c>
      <x:c r="F123" s="11" t="n">
        <x:v>0.15</x:v>
      </x:c>
      <x:c r="G123" s="11" t="n">
        <x:f>IF(F123="","",E123*F123)</x:f>
        <x:v>48</x:v>
      </x:c>
      <x:c r="H123" s="12" t="n">
        <x:f>IF(OR(G123="",'线体日汇总'!H45="",'线体日汇总'!H45=0),"",G123/'线体日汇总'!H45)</x:f>
        <x:v>0.48</x:v>
      </x:c>
      <x:c r="I123" s="11" t="n">
        <x:f>IF(OR(H123="",'线体日汇总'!G45=""),"",H123*'线体日汇总'!G45)</x:f>
        <x:v>55.19998400000001</x:v>
      </x:c>
      <x:c r="J123" s="12" t="n">
        <x:f>IF(OR(G123="",G123=0,I123=""),"",(I123-G123)/G123)</x:f>
        <x:v>0.14999966666666684</x:v>
      </x:c>
      <x:c r="K123" s="2" t="n">
        <x:v>940</x:v>
      </x:c>
      <x:c r="L123" s="2" t="n">
        <x:v>11</x:v>
      </x:c>
      <x:c r="M123" s="12" t="n">
        <x:f>IF(OR(K123="",K123=0),"",L123/K123)</x:f>
        <x:v>0.011702127659574468</x:v>
      </x:c>
      <x:c r="N123" s="13" t="str">
        <x:v>正常</x:v>
      </x:c>
      <x:c r="O123" s="2" t="str">
        <x:v>PP-0924</x:v>
      </x:c>
    </x:row>
    <x:row r="124" ht="36" customHeight="1">
      <x:c r="A124" s="10" t="d">
        <x:v>2026-09-24T00:00:00.000Z</x:v>
      </x:c>
      <x:c r="B124" s="2" t="str">
        <x:v>D04</x:v>
      </x:c>
      <x:c r="C124" s="2" t="str">
        <x:v>P012</x:v>
      </x:c>
      <x:c r="D124" s="2" t="str">
        <x:v>WO-0924-04-02</x:v>
      </x:c>
      <x:c r="E124" s="2" t="n">
        <x:v>200</x:v>
      </x:c>
      <x:c r="F124" s="11" t="n">
        <x:v>0.2</x:v>
      </x:c>
      <x:c r="G124" s="11" t="n">
        <x:f>IF(F124="","",E124*F124)</x:f>
        <x:v>40</x:v>
      </x:c>
      <x:c r="H124" s="12" t="n">
        <x:f>IF(OR(G124="",'线体日汇总'!H45="",'线体日汇总'!H45=0),"",G124/'线体日汇总'!H45)</x:f>
        <x:v>0.4</x:v>
      </x:c>
      <x:c r="I124" s="11" t="n">
        <x:f>IF(OR(H124="",'线体日汇总'!G45=""),"",H124*'线体日汇总'!G45)</x:f>
        <x:v>45.99998666666667</x:v>
      </x:c>
      <x:c r="J124" s="12" t="n">
        <x:f>IF(OR(G124="",G124=0,I124=""),"",(I124-G124)/G124)</x:f>
        <x:v>0.1499996666666668</x:v>
      </x:c>
      <x:c r="K124" s="2" t="n">
        <x:v>1310</x:v>
      </x:c>
      <x:c r="L124" s="2" t="n">
        <x:v>10</x:v>
      </x:c>
      <x:c r="M124" s="12" t="n">
        <x:f>IF(OR(K124="",K124=0),"",L124/K124)</x:f>
        <x:v>0.007633587786259542</x:v>
      </x:c>
      <x:c r="N124" s="13" t="str">
        <x:v>正常</x:v>
      </x:c>
      <x:c r="O124" s="2" t="str">
        <x:v>PP-0924</x:v>
      </x:c>
    </x:row>
    <x:row r="125" ht="36" customHeight="1">
      <x:c r="A125" s="10" t="d">
        <x:v>2026-09-24T00:00:00.000Z</x:v>
      </x:c>
      <x:c r="B125" s="2" t="str">
        <x:v>D04</x:v>
      </x:c>
      <x:c r="C125" s="2" t="str">
        <x:v>P013</x:v>
      </x:c>
      <x:c r="D125" s="2" t="str">
        <x:v>WO-0924-04-03</x:v>
      </x:c>
      <x:c r="E125" s="2" t="n">
        <x:v>200</x:v>
      </x:c>
      <x:c r="F125" s="11" t="n">
        <x:v>0.06</x:v>
      </x:c>
      <x:c r="G125" s="11" t="n">
        <x:f>IF(F125="","",E125*F125)</x:f>
        <x:v>12</x:v>
      </x:c>
      <x:c r="H125" s="12" t="n">
        <x:f>IF(OR(G125="",'线体日汇总'!H45="",'线体日汇总'!H45=0),"",G125/'线体日汇总'!H45)</x:f>
        <x:v>0.12</x:v>
      </x:c>
      <x:c r="I125" s="11" t="n">
        <x:f>IF(OR(H125="",'线体日汇总'!G45=""),"",H125*'线体日汇总'!G45)</x:f>
        <x:v>13.799996000000002</x:v>
      </x:c>
      <x:c r="J125" s="12" t="n">
        <x:f>IF(OR(G125="",G125=0,I125=""),"",(I125-G125)/G125)</x:f>
        <x:v>0.14999966666666684</x:v>
      </x:c>
      <x:c r="K125" s="2" t="n">
        <x:v>1360</x:v>
      </x:c>
      <x:c r="L125" s="2" t="n">
        <x:v>6</x:v>
      </x:c>
      <x:c r="M125" s="12" t="n">
        <x:f>IF(OR(K125="",K125=0),"",L125/K125)</x:f>
        <x:v>0.004411764705882353</x:v>
      </x:c>
      <x:c r="N125" s="13" t="str">
        <x:v>正常</x:v>
      </x:c>
      <x:c r="O125" s="2" t="str">
        <x:v>PP-0924</x:v>
      </x:c>
    </x:row>
    <x:row r="126" ht="36" customHeight="1">
      <x:c r="A126" s="10" t="d">
        <x:v>2026-09-24T00:00:00.000Z</x:v>
      </x:c>
      <x:c r="B126" s="2" t="str">
        <x:v>D05</x:v>
      </x:c>
      <x:c r="C126" s="2" t="str">
        <x:v>P013</x:v>
      </x:c>
      <x:c r="D126" s="2" t="str">
        <x:v>WO-0924-05-01</x:v>
      </x:c>
      <x:c r="E126" s="2" t="n">
        <x:v>360</x:v>
      </x:c>
      <x:c r="F126" s="11" t="n">
        <x:v>0.06</x:v>
      </x:c>
      <x:c r="G126" s="11" t="n">
        <x:f>IF(F126="","",E126*F126)</x:f>
        <x:v>21.599999999999998</x:v>
      </x:c>
      <x:c r="H126" s="12" t="n">
        <x:f>IF(OR(G126="",'线体日汇总'!H46="",'线体日汇总'!H46=0),"",G126/'线体日汇总'!H46)</x:f>
        <x:v>0.41221374045801523</x:v>
      </x:c>
      <x:c r="I126" s="11" t="n">
        <x:f>IF(OR(H126="",'线体日汇总'!G46=""),"",H126*'线体日汇总'!G46)</x:f>
        <x:v>25.919986259541982</x:v>
      </x:c>
      <x:c r="J126" s="12" t="n">
        <x:f>IF(OR(G126="",G126=0,I126=""),"",(I126-G126)/G126)</x:f>
        <x:v>0.1999993638676845</x:v>
      </x:c>
      <x:c r="K126" s="2" t="n">
        <x:v>1600</x:v>
      </x:c>
      <x:c r="L126" s="2" t="n">
        <x:v>7</x:v>
      </x:c>
      <x:c r="M126" s="12" t="n">
        <x:f>IF(OR(K126="",K126=0),"",L126/K126)</x:f>
        <x:v>0.004375</x:v>
      </x:c>
      <x:c r="N126" s="13" t="str">
        <x:v>正常</x:v>
      </x:c>
      <x:c r="O126" s="2" t="str">
        <x:v>PC-025</x:v>
      </x:c>
    </x:row>
    <x:row r="127" ht="36" customHeight="1">
      <x:c r="A127" s="10" t="d">
        <x:v>2026-09-24T00:00:00.000Z</x:v>
      </x:c>
      <x:c r="B127" s="2" t="str">
        <x:v>D05</x:v>
      </x:c>
      <x:c r="C127" s="2" t="str">
        <x:v>P014</x:v>
      </x:c>
      <x:c r="D127" s="2" t="str">
        <x:v>WO-0924-05-02</x:v>
      </x:c>
      <x:c r="E127" s="2" t="n">
        <x:v>180</x:v>
      </x:c>
      <x:c r="F127" s="11" t="n">
        <x:v>0.060000000000000005</x:v>
      </x:c>
      <x:c r="G127" s="11" t="n">
        <x:f>IF(F127="","",E127*F127)</x:f>
        <x:v>10.8</x:v>
      </x:c>
      <x:c r="H127" s="12" t="n">
        <x:f>IF(OR(G127="",'线体日汇总'!H46="",'线体日汇总'!H46=0),"",G127/'线体日汇总'!H46)</x:f>
        <x:v>0.20610687022900764</x:v>
      </x:c>
      <x:c r="I127" s="11" t="n">
        <x:f>IF(OR(H127="",'线体日汇总'!G46=""),"",H127*'线体日汇总'!G46)</x:f>
        <x:v>12.959993129770993</x:v>
      </x:c>
      <x:c r="J127" s="12" t="n">
        <x:f>IF(OR(G127="",G127=0,I127=""),"",(I127-G127)/G127)</x:f>
        <x:v>0.19999936386768447</x:v>
      </x:c>
      <x:c r="K127" s="2" t="n">
        <x:v>1270</x:v>
      </x:c>
      <x:c r="L127" s="2" t="n">
        <x:v>12</x:v>
      </x:c>
      <x:c r="M127" s="12" t="n">
        <x:f>IF(OR(K127="",K127=0),"",L127/K127)</x:f>
        <x:v>0.009448818897637795</x:v>
      </x:c>
      <x:c r="N127" s="13" t="str">
        <x:v>正常</x:v>
      </x:c>
      <x:c r="O127" s="2" t="str">
        <x:v>PP-0924</x:v>
      </x:c>
    </x:row>
    <x:row r="128" ht="36" customHeight="1">
      <x:c r="A128" s="10" t="d">
        <x:v>2026-09-24T00:00:00.000Z</x:v>
      </x:c>
      <x:c r="B128" s="2" t="str">
        <x:v>D05</x:v>
      </x:c>
      <x:c r="C128" s="2" t="str">
        <x:v>P015</x:v>
      </x:c>
      <x:c r="D128" s="2" t="str">
        <x:v>WO-0924-05-03</x:v>
      </x:c>
      <x:c r="E128" s="2" t="n">
        <x:v>200</x:v>
      </x:c>
      <x:c r="F128" s="11" t="n">
        <x:v>0.1</x:v>
      </x:c>
      <x:c r="G128" s="11" t="n">
        <x:f>IF(F128="","",E128*F128)</x:f>
        <x:v>20</x:v>
      </x:c>
      <x:c r="H128" s="12" t="n">
        <x:f>IF(OR(G128="",'线体日汇总'!H46="",'线体日汇总'!H46=0),"",G128/'线体日汇总'!H46)</x:f>
        <x:v>0.3816793893129771</x:v>
      </x:c>
      <x:c r="I128" s="11" t="n">
        <x:f>IF(OR(H128="",'线体日汇总'!G46=""),"",H128*'线体日汇总'!G46)</x:f>
        <x:v>23.999987277353693</x:v>
      </x:c>
      <x:c r="J128" s="12" t="n">
        <x:f>IF(OR(G128="",G128=0,I128=""),"",(I128-G128)/G128)</x:f>
        <x:v>0.19999936386768463</x:v>
      </x:c>
      <x:c r="K128" s="2" t="n">
        <x:v>770</x:v>
      </x:c>
      <x:c r="L128" s="2" t="n">
        <x:v>6</x:v>
      </x:c>
      <x:c r="M128" s="12" t="n">
        <x:f>IF(OR(K128="",K128=0),"",L128/K128)</x:f>
        <x:v>0.007792207792207792</x:v>
      </x:c>
      <x:c r="N128" s="13" t="str">
        <x:v>正常</x:v>
      </x:c>
      <x:c r="O128" s="2" t="str">
        <x:v>PP-0924</x:v>
      </x:c>
    </x:row>
    <x:row r="129" ht="36" customHeight="1">
      <x:c r="A129" s="10" t="d">
        <x:v>2026-09-24T00:00:00.000Z</x:v>
      </x:c>
      <x:c r="B129" s="2" t="str">
        <x:v>D06</x:v>
      </x:c>
      <x:c r="C129" s="2" t="str">
        <x:v>P015</x:v>
      </x:c>
      <x:c r="D129" s="2" t="str">
        <x:v>WO-0924-06-01</x:v>
      </x:c>
      <x:c r="E129" s="2" t="n">
        <x:v>320</x:v>
      </x:c>
      <x:c r="F129" s="11" t="n">
        <x:v>0.1</x:v>
      </x:c>
      <x:c r="G129" s="11" t="n">
        <x:f>IF(F129="","",E129*F129)</x:f>
        <x:v>32</x:v>
      </x:c>
      <x:c r="H129" s="12" t="n">
        <x:f>IF(OR(G129="",'线体日汇总'!H47="",'线体日汇总'!H47=0),"",G129/'线体日汇总'!H47)</x:f>
        <x:v>0.30075187969924816</x:v>
      </x:c>
      <x:c r="I129" s="11" t="n">
        <x:f>IF(OR(H129="",'线体日汇总'!G47=""),"",H129*'线体日汇总'!G47)</x:f>
        <x:v>25.599989974937348</x:v>
      </x:c>
      <x:c r="J129" s="12" t="n">
        <x:f>IF(OR(G129="",G129=0,I129=""),"",(I129-G129)/G129)</x:f>
        <x:v>-0.2000003132832079</x:v>
      </x:c>
      <x:c r="K129" s="2" t="n">
        <x:v>100</x:v>
      </x:c>
      <x:c r="L129" s="2" t="n">
        <x:v>3</x:v>
      </x:c>
      <x:c r="M129" s="12" t="n">
        <x:f>IF(OR(K129="",K129=0),"",L129/K129)</x:f>
        <x:v>0.03</x:v>
      </x:c>
      <x:c r="N129" s="13" t="str">
        <x:v>排期偏差异常；加班占比异常</x:v>
      </x:c>
      <x:c r="O129" s="2" t="str">
        <x:v>PP-0924</x:v>
      </x:c>
    </x:row>
    <x:row r="130" ht="36" customHeight="1">
      <x:c r="A130" s="10" t="d">
        <x:v>2026-09-24T00:00:00.000Z</x:v>
      </x:c>
      <x:c r="B130" s="2" t="str">
        <x:v>D06</x:v>
      </x:c>
      <x:c r="C130" s="2" t="str">
        <x:v>P016</x:v>
      </x:c>
      <x:c r="D130" s="2" t="str">
        <x:v>WO-0924-06-02</x:v>
      </x:c>
      <x:c r="E130" s="2" t="n">
        <x:v>320</x:v>
      </x:c>
      <x:c r="F130" s="11" t="n">
        <x:v>0.11999999999999998</x:v>
      </x:c>
      <x:c r="G130" s="11" t="n">
        <x:f>IF(F130="","",E130*F130)</x:f>
        <x:v>38.39999999999999</x:v>
      </x:c>
      <x:c r="H130" s="12" t="n">
        <x:f>IF(OR(G130="",'线体日汇总'!H47="",'线体日汇总'!H47=0),"",G130/'线体日汇总'!H47)</x:f>
        <x:v>0.36090225563909767</x:v>
      </x:c>
      <x:c r="I130" s="11" t="n">
        <x:f>IF(OR(H130="",'线体日汇总'!G47=""),"",H130*'线体日汇总'!G47)</x:f>
        <x:v>30.719987969924805</x:v>
      </x:c>
      <x:c r="J130" s="12" t="n">
        <x:f>IF(OR(G130="",G130=0,I130=""),"",(I130-G130)/G130)</x:f>
        <x:v>-0.20000031328320803</x:v>
      </x:c>
      <x:c r="K130" s="2" t="n">
        <x:v>1090</x:v>
      </x:c>
      <x:c r="L130" s="2" t="n">
        <x:v>9</x:v>
      </x:c>
      <x:c r="M130" s="12" t="n">
        <x:f>IF(OR(K130="",K130=0),"",L130/K130)</x:f>
        <x:v>0.008256880733944955</x:v>
      </x:c>
      <x:c r="N130" s="13" t="str">
        <x:v>排期偏差异常；加班占比异常</x:v>
      </x:c>
      <x:c r="O130" s="2" t="str">
        <x:v>PP-0924</x:v>
      </x:c>
    </x:row>
    <x:row r="131" ht="36" customHeight="1">
      <x:c r="A131" s="10" t="d">
        <x:v>2026-09-24T00:00:00.000Z</x:v>
      </x:c>
      <x:c r="B131" s="2" t="str">
        <x:v>D06</x:v>
      </x:c>
      <x:c r="C131" s="2" t="str">
        <x:v>P017</x:v>
      </x:c>
      <x:c r="D131" s="2" t="str">
        <x:v>WO-0924-06-03</x:v>
      </x:c>
      <x:c r="E131" s="2" t="n">
        <x:v>240</x:v>
      </x:c>
      <x:c r="F131" s="11" t="n">
        <x:v>0.15</x:v>
      </x:c>
      <x:c r="G131" s="11" t="n">
        <x:f>IF(F131="","",E131*F131)</x:f>
        <x:v>36</x:v>
      </x:c>
      <x:c r="H131" s="12" t="n">
        <x:f>IF(OR(G131="",'线体日汇总'!H47="",'线体日汇总'!H47=0),"",G131/'线体日汇总'!H47)</x:f>
        <x:v>0.33834586466165417</x:v>
      </x:c>
      <x:c r="I131" s="11" t="n">
        <x:f>IF(OR(H131="",'线体日汇总'!G47=""),"",H131*'线体日汇总'!G47)</x:f>
        <x:v>28.799988721804514</x:v>
      </x:c>
      <x:c r="J131" s="12" t="n">
        <x:f>IF(OR(G131="",G131=0,I131=""),"",(I131-G131)/G131)</x:f>
        <x:v>-0.20000031328320794</x:v>
      </x:c>
      <x:c r="K131" s="2" t="n">
        <x:v>890</x:v>
      </x:c>
      <x:c r="L131" s="2" t="n">
        <x:v>6</x:v>
      </x:c>
      <x:c r="M131" s="12" t="n">
        <x:f>IF(OR(K131="",K131=0),"",L131/K131)</x:f>
        <x:v>0.006741573033707865</x:v>
      </x:c>
      <x:c r="N131" s="13" t="str">
        <x:v>排期偏差异常；加班占比异常</x:v>
      </x:c>
      <x:c r="O131" s="2" t="str">
        <x:v>PP-0924</x:v>
      </x:c>
    </x:row>
    <x:row r="132" ht="36" customHeight="1">
      <x:c r="A132" s="10" t="d">
        <x:v>2026-09-24T00:00:00.000Z</x:v>
      </x:c>
      <x:c r="B132" s="2" t="str">
        <x:v>D07</x:v>
      </x:c>
      <x:c r="C132" s="2" t="str">
        <x:v>P017</x:v>
      </x:c>
      <x:c r="D132" s="2" t="str">
        <x:v>WO-0924-07-01</x:v>
      </x:c>
      <x:c r="E132" s="2" t="n">
        <x:v>140</x:v>
      </x:c>
      <x:c r="F132" s="11" t="n">
        <x:v>0.15</x:v>
      </x:c>
      <x:c r="G132" s="11" t="n">
        <x:f>IF(F132="","",E132*F132)</x:f>
        <x:v>21</x:v>
      </x:c>
      <x:c r="H132" s="12" t="n">
        <x:f>IF(OR(G132="",'线体日汇总'!H48="",'线体日汇总'!H48=0),"",G132/'线体日汇总'!H48)</x:f>
        <x:v>0.29577464788732394</x:v>
      </x:c>
      <x:c r="I132" s="11" t="n">
        <x:f>IF(OR(H132="",'线体日汇总'!G48=""),"",H132*'线体日汇总'!G48)</x:f>
        <x:v>28.350009859154923</x:v>
      </x:c>
      <x:c r="J132" s="12" t="n">
        <x:f>IF(OR(G132="",G132=0,I132=""),"",(I132-G132)/G132)</x:f>
        <x:v>0.3500004694835678</x:v>
      </x:c>
      <x:c r="K132" s="2" t="n">
        <x:v>1380</x:v>
      </x:c>
      <x:c r="L132" s="2" t="n">
        <x:v>8</x:v>
      </x:c>
      <x:c r="M132" s="12" t="n">
        <x:f>IF(OR(K132="",K132=0),"",L132/K132)</x:f>
        <x:v>0.005797101449275362</x:v>
      </x:c>
      <x:c r="N132" s="13" t="str">
        <x:v>排期偏差异常</x:v>
      </x:c>
      <x:c r="O132" s="2" t="str">
        <x:v>PP-0924</x:v>
      </x:c>
    </x:row>
    <x:row r="133" ht="36" customHeight="1">
      <x:c r="A133" s="10" t="d">
        <x:v>2026-09-24T00:00:00.000Z</x:v>
      </x:c>
      <x:c r="B133" s="2" t="str">
        <x:v>D07</x:v>
      </x:c>
      <x:c r="C133" s="2" t="str">
        <x:v>P018</x:v>
      </x:c>
      <x:c r="D133" s="2" t="str">
        <x:v>WO-0924-07-02</x:v>
      </x:c>
      <x:c r="E133" s="2" t="n">
        <x:v>160</x:v>
      </x:c>
      <x:c r="F133" s="11" t="n">
        <x:v>0.2</x:v>
      </x:c>
      <x:c r="G133" s="11" t="n">
        <x:f>IF(F133="","",E133*F133)</x:f>
        <x:v>32</x:v>
      </x:c>
      <x:c r="H133" s="12" t="n">
        <x:f>IF(OR(G133="",'线体日汇总'!H48="",'线体日汇总'!H48=0),"",G133/'线体日汇总'!H48)</x:f>
        <x:v>0.4507042253521127</x:v>
      </x:c>
      <x:c r="I133" s="11" t="n">
        <x:f>IF(OR(H133="",'线体日汇总'!G48=""),"",H133*'线体日汇总'!G48)</x:f>
        <x:v>43.20001502347417</x:v>
      </x:c>
      <x:c r="J133" s="12" t="n">
        <x:f>IF(OR(G133="",G133=0,I133=""),"",(I133-G133)/G133)</x:f>
        <x:v>0.3500004694835679</x:v>
      </x:c>
      <x:c r="K133" s="2" t="n">
        <x:v>1040</x:v>
      </x:c>
      <x:c r="L133" s="2" t="n">
        <x:v>7</x:v>
      </x:c>
      <x:c r="M133" s="12" t="n">
        <x:f>IF(OR(K133="",K133=0),"",L133/K133)</x:f>
        <x:v>0.006730769230769231</x:v>
      </x:c>
      <x:c r="N133" s="13" t="str">
        <x:v>排期偏差异常</x:v>
      </x:c>
      <x:c r="O133" s="2" t="str">
        <x:v>PP-0924</x:v>
      </x:c>
    </x:row>
    <x:row r="134" ht="36" customHeight="1">
      <x:c r="A134" s="10" t="d">
        <x:v>2026-09-24T00:00:00.000Z</x:v>
      </x:c>
      <x:c r="B134" s="2" t="str">
        <x:v>D07</x:v>
      </x:c>
      <x:c r="C134" s="2" t="str">
        <x:v>P019</x:v>
      </x:c>
      <x:c r="D134" s="2" t="str">
        <x:v>WO-0924-07-03</x:v>
      </x:c>
      <x:c r="E134" s="2" t="n">
        <x:v>300</x:v>
      </x:c>
      <x:c r="F134" s="11" t="n">
        <x:v>0.06</x:v>
      </x:c>
      <x:c r="G134" s="11" t="n">
        <x:f>IF(F134="","",E134*F134)</x:f>
        <x:v>18</x:v>
      </x:c>
      <x:c r="H134" s="12" t="n">
        <x:f>IF(OR(G134="",'线体日汇总'!H48="",'线体日汇总'!H48=0),"",G134/'线体日汇总'!H48)</x:f>
        <x:v>0.2535211267605634</x:v>
      </x:c>
      <x:c r="I134" s="11" t="n">
        <x:f>IF(OR(H134="",'线体日汇总'!G48=""),"",H134*'线体日汇总'!G48)</x:f>
        <x:v>24.30000845070422</x:v>
      </x:c>
      <x:c r="J134" s="12" t="n">
        <x:f>IF(OR(G134="",G134=0,I134=""),"",(I134-G134)/G134)</x:f>
        <x:v>0.3500004694835677</x:v>
      </x:c>
      <x:c r="K134" s="2" t="n">
        <x:v>960</x:v>
      </x:c>
      <x:c r="L134" s="2" t="n">
        <x:v>5</x:v>
      </x:c>
      <x:c r="M134" s="12" t="n">
        <x:f>IF(OR(K134="",K134=0),"",L134/K134)</x:f>
        <x:v>0.005208333333333333</x:v>
      </x:c>
      <x:c r="N134" s="13" t="str">
        <x:v>排期偏差异常</x:v>
      </x:c>
      <x:c r="O134" s="2" t="str">
        <x:v>PP-0924</x:v>
      </x:c>
    </x:row>
    <x:row r="135" ht="36" customHeight="1">
      <x:c r="A135" s="10" t="d">
        <x:v>2026-09-24T00:00:00.000Z</x:v>
      </x:c>
      <x:c r="B135" s="2" t="str">
        <x:v>D08</x:v>
      </x:c>
      <x:c r="C135" s="2" t="str">
        <x:v>P019</x:v>
      </x:c>
      <x:c r="D135" s="2" t="str">
        <x:v>WO-0924-08-01</x:v>
      </x:c>
      <x:c r="E135" s="2" t="n">
        <x:v>360</x:v>
      </x:c>
      <x:c r="F135" s="11" t="n">
        <x:v>0.06</x:v>
      </x:c>
      <x:c r="G135" s="11" t="n">
        <x:f>IF(F135="","",E135*F135)</x:f>
        <x:v>21.599999999999998</x:v>
      </x:c>
      <x:c r="H135" s="12" t="n">
        <x:f>IF(OR(G135="",'线体日汇总'!H49="",'线体日汇总'!H49=0),"",G135/'线体日汇总'!H49)</x:f>
        <x:v>0.4381338742393509</x:v>
      </x:c>
      <x:c r="I135" s="11" t="n">
        <x:f>IF(OR(H135="",'线体日汇总'!G49=""),"",H135*'线体日汇总'!G49)</x:f>
        <x:v>8.640014604462474</x:v>
      </x:c>
      <x:c r="J135" s="12" t="n">
        <x:f>IF(OR(G135="",G135=0,I135=""),"",(I135-G135)/G135)</x:f>
        <x:v>-0.599999323867478</x:v>
      </x:c>
      <x:c r="K135" s="2" t="n">
        <x:v>1170</x:v>
      </x:c>
      <x:c r="L135" s="2" t="n">
        <x:v>12</x:v>
      </x:c>
      <x:c r="M135" s="12" t="n">
        <x:f>IF(OR(K135="",K135=0),"",L135/K135)</x:f>
        <x:v>0.010256410256410256</x:v>
      </x:c>
      <x:c r="N135" s="13" t="str">
        <x:v>排期偏差异常</x:v>
      </x:c>
      <x:c r="O135" s="2" t="str">
        <x:v>PP-0924</x:v>
      </x:c>
    </x:row>
    <x:row r="136" ht="36" customHeight="1">
      <x:c r="A136" s="10" t="d">
        <x:v>2026-09-24T00:00:00.000Z</x:v>
      </x:c>
      <x:c r="B136" s="2" t="str">
        <x:v>D08</x:v>
      </x:c>
      <x:c r="C136" s="2" t="str">
        <x:v>P020</x:v>
      </x:c>
      <x:c r="D136" s="2" t="str">
        <x:v>WO-0924-08-02</x:v>
      </x:c>
      <x:c r="E136" s="2" t="n">
        <x:v>140</x:v>
      </x:c>
      <x:c r="F136" s="11" t="n">
        <x:v>0.08</x:v>
      </x:c>
      <x:c r="G136" s="11" t="n">
        <x:f>IF(F136="","",E136*F136)</x:f>
        <x:v>11.200000000000001</x:v>
      </x:c>
      <x:c r="H136" s="12" t="n">
        <x:f>IF(OR(G136="",'线体日汇总'!H49="",'线体日汇总'!H49=0),"",G136/'线体日汇总'!H49)</x:f>
        <x:v>0.22718052738336716</x:v>
      </x:c>
      <x:c r="I136" s="11" t="n">
        <x:f>IF(OR(H136="",'线体日汇总'!G49=""),"",H136*'线体日汇总'!G49)</x:f>
        <x:v>4.480007572684246</x:v>
      </x:c>
      <x:c r="J136" s="12" t="n">
        <x:f>IF(OR(G136="",G136=0,I136=""),"",(I136-G136)/G136)</x:f>
        <x:v>-0.599999323867478</x:v>
      </x:c>
      <x:c r="K136" s="2" t="n">
        <x:v>980</x:v>
      </x:c>
      <x:c r="L136" s="2" t="n">
        <x:v>7</x:v>
      </x:c>
      <x:c r="M136" s="12" t="n">
        <x:f>IF(OR(K136="",K136=0),"",L136/K136)</x:f>
        <x:v>0.007142857142857143</x:v>
      </x:c>
      <x:c r="N136" s="13" t="str">
        <x:v>排期偏差异常</x:v>
      </x:c>
      <x:c r="O136" s="2" t="str">
        <x:v>PP-0924</x:v>
      </x:c>
    </x:row>
    <x:row r="137" ht="36" customHeight="1">
      <x:c r="A137" s="10" t="d">
        <x:v>2026-09-24T00:00:00.000Z</x:v>
      </x:c>
      <x:c r="B137" s="2" t="str">
        <x:v>D08</x:v>
      </x:c>
      <x:c r="C137" s="2" t="str">
        <x:v>P021</x:v>
      </x:c>
      <x:c r="D137" s="2" t="str">
        <x:v>WO-0924-08-03</x:v>
      </x:c>
      <x:c r="E137" s="2" t="n">
        <x:v>220</x:v>
      </x:c>
      <x:c r="F137" s="11" t="n">
        <x:v>0.075</x:v>
      </x:c>
      <x:c r="G137" s="11" t="n">
        <x:f>IF(F137="","",E137*F137)</x:f>
        <x:v>16.5</x:v>
      </x:c>
      <x:c r="H137" s="12" t="n">
        <x:f>IF(OR(G137="",'线体日汇总'!H49="",'线体日汇总'!H49=0),"",G137/'线体日汇总'!H49)</x:f>
        <x:v>0.33468559837728196</x:v>
      </x:c>
      <x:c r="I137" s="11" t="n">
        <x:f>IF(OR(H137="",'线体日汇总'!G49=""),"",H137*'线体日汇总'!G49)</x:f>
        <x:v>6.600011156186612</x:v>
      </x:c>
      <x:c r="J137" s="12" t="n">
        <x:f>IF(OR(G137="",G137=0,I137=""),"",(I137-G137)/G137)</x:f>
        <x:v>-0.599999323867478</x:v>
      </x:c>
      <x:c r="K137" s="2" t="n">
        <x:v>880</x:v>
      </x:c>
      <x:c r="L137" s="2" t="n">
        <x:v>7</x:v>
      </x:c>
      <x:c r="M137" s="12" t="n">
        <x:f>IF(OR(K137="",K137=0),"",L137/K137)</x:f>
        <x:v>0.007954545454545454</x:v>
      </x:c>
      <x:c r="N137" s="13" t="str">
        <x:v>排期偏差异常</x:v>
      </x:c>
      <x:c r="O137" s="2" t="str">
        <x:v>PP-0924</x:v>
      </x:c>
    </x:row>
    <x:row r="138" ht="36" customHeight="1">
      <x:c r="A138" s="10" t="d">
        <x:v>2026-09-24T00:00:00.000Z</x:v>
      </x:c>
      <x:c r="B138" s="2" t="str">
        <x:v>D09</x:v>
      </x:c>
      <x:c r="C138" s="2" t="str">
        <x:v>P021</x:v>
      </x:c>
      <x:c r="D138" s="2" t="str">
        <x:v>WO-0924-09-01</x:v>
      </x:c>
      <x:c r="E138" s="2" t="n">
        <x:v>280</x:v>
      </x:c>
      <x:c r="F138" s="11" t="n">
        <x:v>0.075</x:v>
      </x:c>
      <x:c r="G138" s="11" t="n">
        <x:f>IF(F138="","",E138*F138)</x:f>
        <x:v>21</x:v>
      </x:c>
      <x:c r="H138" s="12" t="n">
        <x:f>IF(OR(G138="",'线体日汇总'!H50="",'线体日汇总'!H50=0),"",G138/'线体日汇总'!H50)</x:f>
        <x:v>0.3181818181818182</x:v>
      </x:c>
      <x:c r="I138" s="11" t="n">
        <x:f>IF(OR(H138="",'线体日汇总'!G50=""),"",H138*'线体日汇总'!G50)</x:f>
        <x:v>19.95001060606061</x:v>
      </x:c>
      <x:c r="J138" s="12" t="n">
        <x:f>IF(OR(G138="",G138=0,I138=""),"",(I138-G138)/G138)</x:f>
        <x:v>-0.04999949494949483</x:v>
      </x:c>
      <x:c r="K138" s="2" t="n">
        <x:v>1010</x:v>
      </x:c>
      <x:c r="L138" s="2" t="n">
        <x:v>18</x:v>
      </x:c>
      <x:c r="M138" s="12" t="n">
        <x:f>IF(OR(K138="",K138=0),"",L138/K138)</x:f>
        <x:v>0.01782178217821782</x:v>
      </x:c>
      <x:c r="N138" s="13" t="str">
        <x:v>加班占比异常</x:v>
      </x:c>
      <x:c r="O138" s="2" t="str">
        <x:v>PP-0924</x:v>
      </x:c>
    </x:row>
    <x:row r="139" ht="36" customHeight="1">
      <x:c r="A139" s="10" t="d">
        <x:v>2026-09-24T00:00:00.000Z</x:v>
      </x:c>
      <x:c r="B139" s="2" t="str">
        <x:v>D09</x:v>
      </x:c>
      <x:c r="C139" s="2" t="str">
        <x:v>P022</x:v>
      </x:c>
      <x:c r="D139" s="2" t="str">
        <x:v>WO-0924-09-02</x:v>
      </x:c>
      <x:c r="E139" s="2" t="n">
        <x:v>200</x:v>
      </x:c>
      <x:c r="F139" s="11" t="n">
        <x:v>0.11999999999999998</x:v>
      </x:c>
      <x:c r="G139" s="11" t="n">
        <x:f>IF(F139="","",E139*F139)</x:f>
        <x:v>23.999999999999996</x:v>
      </x:c>
      <x:c r="H139" s="12" t="n">
        <x:f>IF(OR(G139="",'线体日汇总'!H50="",'线体日汇总'!H50=0),"",G139/'线体日汇总'!H50)</x:f>
        <x:v>0.3636363636363636</x:v>
      </x:c>
      <x:c r="I139" s="11" t="n">
        <x:f>IF(OR(H139="",'线体日汇总'!G50=""),"",H139*'线体日汇总'!G50)</x:f>
        <x:v>22.800012121212124</x:v>
      </x:c>
      <x:c r="J139" s="12" t="n">
        <x:f>IF(OR(G139="",G139=0,I139=""),"",(I139-G139)/G139)</x:f>
        <x:v>-0.04999949494949471</x:v>
      </x:c>
      <x:c r="K139" s="2" t="n">
        <x:v>1360</x:v>
      </x:c>
      <x:c r="L139" s="2" t="n">
        <x:v>11</x:v>
      </x:c>
      <x:c r="M139" s="12" t="n">
        <x:f>IF(OR(K139="",K139=0),"",L139/K139)</x:f>
        <x:v>0.008088235294117648</x:v>
      </x:c>
      <x:c r="N139" s="13" t="str">
        <x:v>加班占比异常</x:v>
      </x:c>
      <x:c r="O139" s="2" t="str">
        <x:v>PC-027</x:v>
      </x:c>
    </x:row>
    <x:row r="140" ht="36" customHeight="1">
      <x:c r="A140" s="10" t="d">
        <x:v>2026-09-24T00:00:00.000Z</x:v>
      </x:c>
      <x:c r="B140" s="2" t="str">
        <x:v>D09</x:v>
      </x:c>
      <x:c r="C140" s="2" t="str">
        <x:v>P023</x:v>
      </x:c>
      <x:c r="D140" s="2" t="str">
        <x:v>WO-0924-09-03</x:v>
      </x:c>
      <x:c r="E140" s="2" t="n">
        <x:v>140</x:v>
      </x:c>
      <x:c r="F140" s="11" t="n">
        <x:v>0.15</x:v>
      </x:c>
      <x:c r="G140" s="11" t="n">
        <x:f>IF(F140="","",E140*F140)</x:f>
        <x:v>21</x:v>
      </x:c>
      <x:c r="H140" s="12" t="n">
        <x:f>IF(OR(G140="",'线体日汇总'!H50="",'线体日汇总'!H50=0),"",G140/'线体日汇总'!H50)</x:f>
        <x:v>0.3181818181818182</x:v>
      </x:c>
      <x:c r="I140" s="11" t="n">
        <x:f>IF(OR(H140="",'线体日汇总'!G50=""),"",H140*'线体日汇总'!G50)</x:f>
        <x:v>19.95001060606061</x:v>
      </x:c>
      <x:c r="J140" s="12" t="n">
        <x:f>IF(OR(G140="",G140=0,I140=""),"",(I140-G140)/G140)</x:f>
        <x:v>-0.04999949494949483</x:v>
      </x:c>
      <x:c r="K140" s="2" t="n">
        <x:v>1020</x:v>
      </x:c>
      <x:c r="L140" s="2" t="n">
        <x:v>8</x:v>
      </x:c>
      <x:c r="M140" s="12" t="n">
        <x:f>IF(OR(K140="",K140=0),"",L140/K140)</x:f>
        <x:v>0.00784313725490196</x:v>
      </x:c>
      <x:c r="N140" s="13" t="str">
        <x:v>加班占比异常</x:v>
      </x:c>
      <x:c r="O140" s="2" t="str">
        <x:v>PP-0924</x:v>
      </x:c>
    </x:row>
    <x:row r="141" ht="36" customHeight="1">
      <x:c r="A141" s="10" t="d">
        <x:v>2026-09-24T00:00:00.000Z</x:v>
      </x:c>
      <x:c r="B141" s="2" t="str">
        <x:v>D10</x:v>
      </x:c>
      <x:c r="C141" s="2" t="str">
        <x:v>P023</x:v>
      </x:c>
      <x:c r="D141" s="2" t="str">
        <x:v>WO-0924-10-01</x:v>
      </x:c>
      <x:c r="E141" s="2" t="n">
        <x:v>200</x:v>
      </x:c>
      <x:c r="F141" s="11" t="n">
        <x:v>0.15</x:v>
      </x:c>
      <x:c r="G141" s="11" t="n">
        <x:f>IF(F141="","",E141*F141)</x:f>
        <x:v>30</x:v>
      </x:c>
      <x:c r="H141" s="12" t="n">
        <x:f>IF(OR(G141="",'线体日汇总'!H51="",'线体日汇总'!H51=0),"",G141/'线体日汇总'!H51)</x:f>
        <x:v>0.4032258064516129</x:v>
      </x:c>
      <x:c r="I141" s="11" t="n">
        <x:f>IF(OR(H141="",'线体日汇总'!G51=""),"",H141*'线体日汇总'!G51)</x:f>
        <x:v>31.500013440860208</x:v>
      </x:c>
      <x:c r="J141" s="12" t="n">
        <x:f>IF(OR(G141="",G141=0,I141=""),"",(I141-G141)/G141)</x:f>
        <x:v>0.0500004480286736</x:v>
      </x:c>
      <x:c r="K141" s="2" t="n">
        <x:v>1260</x:v>
      </x:c>
      <x:c r="L141" s="2" t="n">
        <x:v>29</x:v>
      </x:c>
      <x:c r="M141" s="12" t="n">
        <x:f>IF(OR(K141="",K141=0),"",L141/K141)</x:f>
        <x:v>0.023015873015873017</x:v>
      </x:c>
      <x:c r="N141" s="13" t="str">
        <x:v>正常</x:v>
      </x:c>
      <x:c r="O141" s="2" t="str">
        <x:v>PP-0924</x:v>
      </x:c>
    </x:row>
    <x:row r="142" ht="36" customHeight="1">
      <x:c r="A142" s="10" t="d">
        <x:v>2026-09-24T00:00:00.000Z</x:v>
      </x:c>
      <x:c r="B142" s="2" t="str">
        <x:v>D10</x:v>
      </x:c>
      <x:c r="C142" s="2" t="str">
        <x:v>P024</x:v>
      </x:c>
      <x:c r="D142" s="2" t="str">
        <x:v>WO-0924-10-02</x:v>
      </x:c>
      <x:c r="E142" s="2" t="n">
        <x:v>180</x:v>
      </x:c>
      <x:c r="F142" s="11" t="n">
        <x:v>0.2</x:v>
      </x:c>
      <x:c r="G142" s="11" t="n">
        <x:f>IF(F142="","",E142*F142)</x:f>
        <x:v>36</x:v>
      </x:c>
      <x:c r="H142" s="12" t="n">
        <x:f>IF(OR(G142="",'线体日汇总'!H51="",'线体日汇总'!H51=0),"",G142/'线体日汇总'!H51)</x:f>
        <x:v>0.48387096774193544</x:v>
      </x:c>
      <x:c r="I142" s="11" t="n">
        <x:f>IF(OR(H142="",'线体日汇总'!G51=""),"",H142*'线体日汇总'!G51)</x:f>
        <x:v>37.80001612903225</x:v>
      </x:c>
      <x:c r="J142" s="12" t="n">
        <x:f>IF(OR(G142="",G142=0,I142=""),"",(I142-G142)/G142)</x:f>
        <x:v>0.050000448028673636</x:v>
      </x:c>
      <x:c r="K142" s="2" t="n">
        <x:v>1120</x:v>
      </x:c>
      <x:c r="L142" s="2" t="n">
        <x:v>7</x:v>
      </x:c>
      <x:c r="M142" s="12" t="n">
        <x:f>IF(OR(K142="",K142=0),"",L142/K142)</x:f>
        <x:v>0.00625</x:v>
      </x:c>
      <x:c r="N142" s="13" t="str">
        <x:v>正常</x:v>
      </x:c>
      <x:c r="O142" s="2" t="str">
        <x:v>PP-0924</x:v>
      </x:c>
    </x:row>
    <x:row r="143" ht="36" customHeight="1">
      <x:c r="A143" s="10" t="d">
        <x:v>2026-09-24T00:00:00.000Z</x:v>
      </x:c>
      <x:c r="B143" s="2" t="str">
        <x:v>D10</x:v>
      </x:c>
      <x:c r="C143" s="2" t="str">
        <x:v>P025</x:v>
      </x:c>
      <x:c r="D143" s="2" t="str">
        <x:v>WO-0924-10-03</x:v>
      </x:c>
      <x:c r="E143" s="2" t="n">
        <x:v>140</x:v>
      </x:c>
      <x:c r="F143" s="11" t="n">
        <x:v>0.06</x:v>
      </x:c>
      <x:c r="G143" s="11" t="n">
        <x:f>IF(F143="","",E143*F143)</x:f>
        <x:v>8.4</x:v>
      </x:c>
      <x:c r="H143" s="12" t="n">
        <x:f>IF(OR(G143="",'线体日汇总'!H51="",'线体日汇总'!H51=0),"",G143/'线体日汇总'!H51)</x:f>
        <x:v>0.11290322580645161</x:v>
      </x:c>
      <x:c r="I143" s="11" t="n">
        <x:f>IF(OR(H143="",'线体日汇总'!G51=""),"",H143*'线体日汇总'!G51)</x:f>
        <x:v>8.820003763440859</x:v>
      </x:c>
      <x:c r="J143" s="12" t="n">
        <x:f>IF(OR(G143="",G143=0,I143=""),"",(I143-G143)/G143)</x:f>
        <x:v>0.05000044802867362</x:v>
      </x:c>
      <x:c r="K143" s="2" t="n">
        <x:v>1400</x:v>
      </x:c>
      <x:c r="L143" s="2" t="n">
        <x:v>13</x:v>
      </x:c>
      <x:c r="M143" s="12" t="n">
        <x:f>IF(OR(K143="",K143=0),"",L143/K143)</x:f>
        <x:v>0.009285714285714286</x:v>
      </x:c>
      <x:c r="N143" s="13" t="str">
        <x:v>正常</x:v>
      </x:c>
      <x:c r="O143" s="2" t="str">
        <x:v>PP-0924</x:v>
      </x:c>
    </x:row>
    <x:row r="144" ht="36" customHeight="1">
      <x:c r="A144" s="10" t="d">
        <x:v>2026-09-24T00:00:00.000Z</x:v>
      </x:c>
      <x:c r="B144" s="2" t="str">
        <x:v>D11</x:v>
      </x:c>
      <x:c r="C144" s="2" t="str">
        <x:v>P025</x:v>
      </x:c>
      <x:c r="D144" s="2" t="str">
        <x:v>WO-0924-11-01</x:v>
      </x:c>
      <x:c r="E144" s="2" t="n">
        <x:v>260</x:v>
      </x:c>
      <x:c r="F144" s="11" t="n">
        <x:v>0.06</x:v>
      </x:c>
      <x:c r="G144" s="11" t="n">
        <x:f>IF(F144="","",E144*F144)</x:f>
        <x:v>15.6</x:v>
      </x:c>
      <x:c r="H144" s="12" t="n">
        <x:f>IF(OR(G144="",'线体日汇总'!H52="",'线体日汇总'!H52=0),"",G144/'线体日汇总'!H52)</x:f>
        <x:v>0.2549019607843137</x:v>
      </x:c>
      <x:c r="I144" s="11" t="n">
        <x:f>IF(OR(H144="",'线体日汇总'!G52=""),"",H144*'线体日汇总'!G52)</x:f>
        <x:v>17.939999999999998</x:v>
      </x:c>
      <x:c r="J144" s="12" t="n">
        <x:f>IF(OR(G144="",G144=0,I144=""),"",(I144-G144)/G144)</x:f>
        <x:v>0.14999999999999988</x:v>
      </x:c>
      <x:c r="K144" s="2" t="n">
        <x:v>1240</x:v>
      </x:c>
      <x:c r="L144" s="2" t="n">
        <x:v>11</x:v>
      </x:c>
      <x:c r="M144" s="12" t="n">
        <x:f>IF(OR(K144="",K144=0),"",L144/K144)</x:f>
        <x:v>0.008870967741935484</x:v>
      </x:c>
      <x:c r="N144" s="13" t="str">
        <x:v>正常</x:v>
      </x:c>
      <x:c r="O144" s="2" t="str">
        <x:v>PP-0924</x:v>
      </x:c>
    </x:row>
    <x:row r="145" ht="36" customHeight="1">
      <x:c r="A145" s="10" t="d">
        <x:v>2026-09-24T00:00:00.000Z</x:v>
      </x:c>
      <x:c r="B145" s="2" t="str">
        <x:v>D11</x:v>
      </x:c>
      <x:c r="C145" s="2" t="str">
        <x:v>P026</x:v>
      </x:c>
      <x:c r="D145" s="2" t="str">
        <x:v>WO-0924-11-02</x:v>
      </x:c>
      <x:c r="E145" s="2" t="n">
        <x:v>120</x:v>
      </x:c>
      <x:c r="F145" s="11" t="n">
        <x:v>0.08</x:v>
      </x:c>
      <x:c r="G145" s="11" t="n">
        <x:f>IF(F145="","",E145*F145)</x:f>
        <x:v>9.6</x:v>
      </x:c>
      <x:c r="H145" s="12" t="n">
        <x:f>IF(OR(G145="",'线体日汇总'!H52="",'线体日汇总'!H52=0),"",G145/'线体日汇总'!H52)</x:f>
        <x:v>0.1568627450980392</x:v>
      </x:c>
      <x:c r="I145" s="11" t="n">
        <x:f>IF(OR(H145="",'线体日汇总'!G52=""),"",H145*'线体日汇总'!G52)</x:f>
        <x:v>11.04</x:v>
      </x:c>
      <x:c r="J145" s="12" t="n">
        <x:f>IF(OR(G145="",G145=0,I145=""),"",(I145-G145)/G145)</x:f>
        <x:v>0.14999999999999997</x:v>
      </x:c>
      <x:c r="K145" s="2" t="n">
        <x:v>1030</x:v>
      </x:c>
      <x:c r="L145" s="2" t="n">
        <x:v>3</x:v>
      </x:c>
      <x:c r="M145" s="12" t="n">
        <x:f>IF(OR(K145="",K145=0),"",L145/K145)</x:f>
        <x:v>0.002912621359223301</x:v>
      </x:c>
      <x:c r="N145" s="13" t="str">
        <x:v>正常</x:v>
      </x:c>
      <x:c r="O145" s="2" t="str">
        <x:v>PP-0924</x:v>
      </x:c>
    </x:row>
    <x:row r="146" ht="36" customHeight="1">
      <x:c r="A146" s="10" t="d">
        <x:v>2026-09-24T00:00:00.000Z</x:v>
      </x:c>
      <x:c r="B146" s="2" t="str">
        <x:v>D11</x:v>
      </x:c>
      <x:c r="C146" s="2" t="str">
        <x:v>P027</x:v>
      </x:c>
      <x:c r="D146" s="2" t="str">
        <x:v>WO-0924-11-03</x:v>
      </x:c>
      <x:c r="E146" s="2" t="n">
        <x:v>360</x:v>
      </x:c>
      <x:c r="F146" s="11" t="n">
        <x:v>0.1</x:v>
      </x:c>
      <x:c r="G146" s="11" t="n">
        <x:f>IF(F146="","",E146*F146)</x:f>
        <x:v>36</x:v>
      </x:c>
      <x:c r="H146" s="12" t="n">
        <x:f>IF(OR(G146="",'线体日汇总'!H52="",'线体日汇总'!H52=0),"",G146/'线体日汇总'!H52)</x:f>
        <x:v>0.5882352941176471</x:v>
      </x:c>
      <x:c r="I146" s="11" t="n">
        <x:f>IF(OR(H146="",'线体日汇总'!G52=""),"",H146*'线体日汇总'!G52)</x:f>
        <x:v>41.4</x:v>
      </x:c>
      <x:c r="J146" s="12" t="n">
        <x:f>IF(OR(G146="",G146=0,I146=""),"",(I146-G146)/G146)</x:f>
        <x:v>0.14999999999999997</x:v>
      </x:c>
      <x:c r="K146" s="2" t="n">
        <x:v>1310</x:v>
      </x:c>
      <x:c r="L146" s="2" t="n">
        <x:v>4</x:v>
      </x:c>
      <x:c r="M146" s="12" t="n">
        <x:f>IF(OR(K146="",K146=0),"",L146/K146)</x:f>
        <x:v>0.0030534351145038168</x:v>
      </x:c>
      <x:c r="N146" s="13" t="str">
        <x:v>正常</x:v>
      </x:c>
      <x:c r="O146" s="2" t="str">
        <x:v>PP-0924</x:v>
      </x:c>
    </x:row>
    <x:row r="147" ht="36" customHeight="1">
      <x:c r="A147" s="10" t="d">
        <x:v>2026-09-24T00:00:00.000Z</x:v>
      </x:c>
      <x:c r="B147" s="2" t="str">
        <x:v>D12</x:v>
      </x:c>
      <x:c r="C147" s="2" t="str">
        <x:v>P027</x:v>
      </x:c>
      <x:c r="D147" s="2" t="str">
        <x:v>WO-0924-12-01</x:v>
      </x:c>
      <x:c r="E147" s="2" t="n">
        <x:v>240</x:v>
      </x:c>
      <x:c r="F147" s="11" t="n">
        <x:v>0.1</x:v>
      </x:c>
      <x:c r="G147" s="11" t="n">
        <x:f>IF(F147="","",E147*F147)</x:f>
        <x:v>24</x:v>
      </x:c>
      <x:c r="H147" s="12" t="n">
        <x:f>IF(OR(G147="",'线体日汇总'!H53="",'线体日汇总'!H53=0),"",G147/'线体日汇总'!H53)</x:f>
        <x:v>0.3773584905660377</x:v>
      </x:c>
      <x:c r="I147" s="11" t="n">
        <x:f>IF(OR(H147="",'线体日汇总'!G53=""),"",H147*'线体日汇总'!G53)</x:f>
        <x:v>28.799999999999994</x:v>
      </x:c>
      <x:c r="J147" s="12" t="n">
        <x:f>IF(OR(G147="",G147=0,I147=""),"",(I147-G147)/G147)</x:f>
        <x:v>0.19999999999999973</x:v>
      </x:c>
      <x:c r="K147" s="2" t="n">
        <x:v>1270</x:v>
      </x:c>
      <x:c r="L147" s="2" t="n">
        <x:v>7</x:v>
      </x:c>
      <x:c r="M147" s="12" t="n">
        <x:f>IF(OR(K147="",K147=0),"",L147/K147)</x:f>
        <x:v>0.005511811023622047</x:v>
      </x:c>
      <x:c r="N147" s="13" t="str">
        <x:v>加班占比异常</x:v>
      </x:c>
      <x:c r="O147" s="2" t="str">
        <x:v>PP-0924</x:v>
      </x:c>
    </x:row>
    <x:row r="148" ht="36" customHeight="1">
      <x:c r="A148" s="10" t="d">
        <x:v>2026-09-24T00:00:00.000Z</x:v>
      </x:c>
      <x:c r="B148" s="2" t="str">
        <x:v>D12</x:v>
      </x:c>
      <x:c r="C148" s="2" t="str">
        <x:v>P028</x:v>
      </x:c>
      <x:c r="D148" s="2" t="str">
        <x:v>WO-0924-12-02</x:v>
      </x:c>
      <x:c r="E148" s="2" t="n">
        <x:v>240</x:v>
      </x:c>
      <x:c r="F148" s="11" t="n">
        <x:v>0.09000000000000001</x:v>
      </x:c>
      <x:c r="G148" s="11" t="n">
        <x:f>IF(F148="","",E148*F148)</x:f>
        <x:v>21.6</x:v>
      </x:c>
      <x:c r="H148" s="12" t="n">
        <x:f>IF(OR(G148="",'线体日汇总'!H53="",'线体日汇总'!H53=0),"",G148/'线体日汇总'!H53)</x:f>
        <x:v>0.339622641509434</x:v>
      </x:c>
      <x:c r="I148" s="11" t="n">
        <x:f>IF(OR(H148="",'线体日汇总'!G53=""),"",H148*'线体日汇总'!G53)</x:f>
        <x:v>25.92</x:v>
      </x:c>
      <x:c r="J148" s="12" t="n">
        <x:f>IF(OR(G148="",G148=0,I148=""),"",(I148-G148)/G148)</x:f>
        <x:v>0.2</x:v>
      </x:c>
      <x:c r="K148" s="2" t="n">
        <x:v>1170</x:v>
      </x:c>
      <x:c r="L148" s="2" t="n">
        <x:v>6</x:v>
      </x:c>
      <x:c r="M148" s="12" t="n">
        <x:f>IF(OR(K148="",K148=0),"",L148/K148)</x:f>
        <x:v>0.005128205128205128</x:v>
      </x:c>
      <x:c r="N148" s="13" t="str">
        <x:v>加班占比异常</x:v>
      </x:c>
      <x:c r="O148" s="2" t="str">
        <x:v>PP-0924</x:v>
      </x:c>
    </x:row>
    <x:row r="149" ht="36" customHeight="1">
      <x:c r="A149" s="10" t="d">
        <x:v>2026-09-24T00:00:00.000Z</x:v>
      </x:c>
      <x:c r="B149" s="2" t="str">
        <x:v>D12</x:v>
      </x:c>
      <x:c r="C149" s="2" t="str">
        <x:v>P029</x:v>
      </x:c>
      <x:c r="D149" s="2" t="str">
        <x:v>WO-0924-12-03</x:v>
      </x:c>
      <x:c r="E149" s="2" t="n">
        <x:v>120</x:v>
      </x:c>
      <x:c r="F149" s="11" t="n">
        <x:v>0.15</x:v>
      </x:c>
      <x:c r="G149" s="11" t="n">
        <x:f>IF(F149="","",E149*F149)</x:f>
        <x:v>18</x:v>
      </x:c>
      <x:c r="H149" s="12" t="n">
        <x:f>IF(OR(G149="",'线体日汇总'!H53="",'线体日汇总'!H53=0),"",G149/'线体日汇总'!H53)</x:f>
        <x:v>0.2830188679245283</x:v>
      </x:c>
      <x:c r="I149" s="11" t="n">
        <x:f>IF(OR(H149="",'线体日汇总'!G53=""),"",H149*'线体日汇总'!G53)</x:f>
        <x:v>21.599999999999998</x:v>
      </x:c>
      <x:c r="J149" s="12" t="n">
        <x:f>IF(OR(G149="",G149=0,I149=""),"",(I149-G149)/G149)</x:f>
        <x:v>0.19999999999999987</x:v>
      </x:c>
      <x:c r="K149" s="2" t="n">
        <x:v>420</x:v>
      </x:c>
      <x:c r="L149" s="2" t="n">
        <x:v>8</x:v>
      </x:c>
      <x:c r="M149" s="12" t="n">
        <x:f>IF(OR(K149="",K149=0),"",L149/K149)</x:f>
        <x:v>0.01904761904761905</x:v>
      </x:c>
      <x:c r="N149" s="13" t="str">
        <x:v>加班占比异常</x:v>
      </x:c>
      <x:c r="O149" s="2" t="str">
        <x:v>PP-0924</x:v>
      </x:c>
    </x:row>
    <x:row r="150" ht="36" customHeight="1">
      <x:c r="A150" s="10" t="d">
        <x:v>2026-09-25T00:00:00.000Z</x:v>
      </x:c>
      <x:c r="B150" s="2" t="str">
        <x:v>D01</x:v>
      </x:c>
      <x:c r="C150" s="2" t="str">
        <x:v>P006</x:v>
      </x:c>
      <x:c r="D150" s="2" t="str">
        <x:v>WO-0925-01-01</x:v>
      </x:c>
      <x:c r="E150" s="2" t="n">
        <x:v>340</x:v>
      </x:c>
      <x:c r="F150" s="11" t="n">
        <x:v>0.2</x:v>
      </x:c>
      <x:c r="G150" s="11" t="n">
        <x:f>IF(F150="","",E150*F150)</x:f>
        <x:v>68</x:v>
      </x:c>
      <x:c r="H150" s="12" t="n">
        <x:f>IF(OR(G150="",'线体日汇总'!H54="",'线体日汇总'!H54=0),"",G150/'线体日汇总'!H54)</x:f>
        <x:v>0.6319702602230484</x:v>
      </x:c>
      <x:c r="I150" s="11" t="n">
        <x:f>IF(OR(H150="",'线体日汇总'!G54=""),"",H150*'线体日汇总'!G54)</x:f>
        <x:v>54.4</x:v>
      </x:c>
      <x:c r="J150" s="12" t="n">
        <x:f>IF(OR(G150="",G150=0,I150=""),"",(I150-G150)/G150)</x:f>
        <x:v>-0.2</x:v>
      </x:c>
      <x:c r="K150" s="2" t="n">
        <x:v>1140</x:v>
      </x:c>
      <x:c r="L150" s="2" t="n">
        <x:v>11</x:v>
      </x:c>
      <x:c r="M150" s="12" t="n">
        <x:f>IF(OR(K150="",K150=0),"",L150/K150)</x:f>
        <x:v>0.009649122807017544</x:v>
      </x:c>
      <x:c r="N150" s="13" t="str">
        <x:v>正常</x:v>
      </x:c>
      <x:c r="O150" s="2" t="str">
        <x:v>PP-0925</x:v>
      </x:c>
    </x:row>
    <x:row r="151" ht="36" customHeight="1">
      <x:c r="A151" s="10" t="d">
        <x:v>2026-09-25T00:00:00.000Z</x:v>
      </x:c>
      <x:c r="B151" s="2" t="str">
        <x:v>D01</x:v>
      </x:c>
      <x:c r="C151" s="2" t="str">
        <x:v>P007</x:v>
      </x:c>
      <x:c r="D151" s="2" t="str">
        <x:v>WO-0925-01-02</x:v>
      </x:c>
      <x:c r="E151" s="2" t="n">
        <x:v>360</x:v>
      </x:c>
      <x:c r="F151" s="11" t="n">
        <x:v>0.06</x:v>
      </x:c>
      <x:c r="G151" s="11" t="n">
        <x:f>IF(F151="","",E151*F151)</x:f>
        <x:v>21.599999999999998</x:v>
      </x:c>
      <x:c r="H151" s="12" t="n">
        <x:f>IF(OR(G151="",'线体日汇总'!H54="",'线体日汇总'!H54=0),"",G151/'线体日汇总'!H54)</x:f>
        <x:v>0.2007434944237918</x:v>
      </x:c>
      <x:c r="I151" s="11" t="n">
        <x:f>IF(OR(H151="",'线体日汇总'!G54=""),"",H151*'线体日汇总'!G54)</x:f>
        <x:v>17.279999999999998</x:v>
      </x:c>
      <x:c r="J151" s="12" t="n">
        <x:f>IF(OR(G151="",G151=0,I151=""),"",(I151-G151)/G151)</x:f>
        <x:v>-0.20000000000000004</x:v>
      </x:c>
      <x:c r="K151" s="2" t="n">
        <x:v>840</x:v>
      </x:c>
      <x:c r="L151" s="2" t="n">
        <x:v>8</x:v>
      </x:c>
      <x:c r="M151" s="12" t="n">
        <x:f>IF(OR(K151="",K151=0),"",L151/K151)</x:f>
        <x:v>0.009523809523809525</x:v>
      </x:c>
      <x:c r="N151" s="13" t="str">
        <x:v>正常</x:v>
      </x:c>
      <x:c r="O151" s="2" t="str">
        <x:v>PP-0925</x:v>
      </x:c>
    </x:row>
    <x:row r="152" ht="36" customHeight="1">
      <x:c r="A152" s="10" t="d">
        <x:v>2026-09-25T00:00:00.000Z</x:v>
      </x:c>
      <x:c r="B152" s="2" t="str">
        <x:v>D01</x:v>
      </x:c>
      <x:c r="C152" s="2" t="str">
        <x:v>P008</x:v>
      </x:c>
      <x:c r="D152" s="2" t="str">
        <x:v>WO-0925-01-03</x:v>
      </x:c>
      <x:c r="E152" s="2" t="n">
        <x:v>300</x:v>
      </x:c>
      <x:c r="F152" s="11" t="n">
        <x:v>0.060000000000000005</x:v>
      </x:c>
      <x:c r="G152" s="11" t="n">
        <x:f>IF(F152="","",E152*F152)</x:f>
        <x:v>18</x:v>
      </x:c>
      <x:c r="H152" s="12" t="n">
        <x:f>IF(OR(G152="",'线体日汇总'!H54="",'线体日汇总'!H54=0),"",G152/'线体日汇总'!H54)</x:f>
        <x:v>0.16728624535315986</x:v>
      </x:c>
      <x:c r="I152" s="11" t="n">
        <x:f>IF(OR(H152="",'线体日汇总'!G54=""),"",H152*'线体日汇总'!G54)</x:f>
        <x:v>14.4</x:v>
      </x:c>
      <x:c r="J152" s="12" t="n">
        <x:f>IF(OR(G152="",G152=0,I152=""),"",(I152-G152)/G152)</x:f>
        <x:v>-0.19999999999999998</x:v>
      </x:c>
      <x:c r="K152" s="2" t="n">
        <x:v>1040</x:v>
      </x:c>
      <x:c r="L152" s="2" t="n">
        <x:v>10</x:v>
      </x:c>
      <x:c r="M152" s="12" t="n">
        <x:f>IF(OR(K152="",K152=0),"",L152/K152)</x:f>
        <x:v>0.009615384615384616</x:v>
      </x:c>
      <x:c r="N152" s="13" t="str">
        <x:v>正常</x:v>
      </x:c>
      <x:c r="O152" s="2" t="str">
        <x:v>PC-029</x:v>
      </x:c>
    </x:row>
    <x:row r="153" ht="36" customHeight="1">
      <x:c r="A153" s="10" t="d">
        <x:v>2026-09-25T00:00:00.000Z</x:v>
      </x:c>
      <x:c r="B153" s="2" t="str">
        <x:v>D02</x:v>
      </x:c>
      <x:c r="C153" s="2" t="str">
        <x:v>P008</x:v>
      </x:c>
      <x:c r="D153" s="2" t="str">
        <x:v>WO-0925-02-01</x:v>
      </x:c>
      <x:c r="E153" s="2" t="n">
        <x:v>120</x:v>
      </x:c>
      <x:c r="F153" s="11" t="n">
        <x:v>0.060000000000000005</x:v>
      </x:c>
      <x:c r="G153" s="11" t="n">
        <x:f>IF(F153="","",E153*F153)</x:f>
        <x:v>7.2</x:v>
      </x:c>
      <x:c r="H153" s="12" t="n">
        <x:f>IF(OR(G153="",'线体日汇总'!H55="",'线体日汇总'!H55=0),"",G153/'线体日汇总'!H55)</x:f>
        <x:v>0.10650887573964499</x:v>
      </x:c>
      <x:c r="I153" s="11" t="n">
        <x:f>IF(OR(H153="",'线体日汇总'!G55=""),"",H153*'线体日汇总'!G55)</x:f>
        <x:v>9.72</x:v>
      </x:c>
      <x:c r="J153" s="12" t="n">
        <x:f>IF(OR(G153="",G153=0,I153=""),"",(I153-G153)/G153)</x:f>
        <x:v>0.35000000000000003</x:v>
      </x:c>
      <x:c r="K153" s="2" t="n">
        <x:v>1410</x:v>
      </x:c>
      <x:c r="L153" s="2" t="n">
        <x:v>9</x:v>
      </x:c>
      <x:c r="M153" s="12" t="n">
        <x:f>IF(OR(K153="",K153=0),"",L153/K153)</x:f>
        <x:v>0.006382978723404255</x:v>
      </x:c>
      <x:c r="N153" s="13" t="str">
        <x:v>排期偏差异常</x:v>
      </x:c>
      <x:c r="O153" s="2" t="str">
        <x:v>PP-0925</x:v>
      </x:c>
    </x:row>
    <x:row r="154" ht="36" customHeight="1">
      <x:c r="A154" s="10" t="d">
        <x:v>2026-09-25T00:00:00.000Z</x:v>
      </x:c>
      <x:c r="B154" s="2" t="str">
        <x:v>D02</x:v>
      </x:c>
      <x:c r="C154" s="2" t="str">
        <x:v>P009</x:v>
      </x:c>
      <x:c r="D154" s="2" t="str">
        <x:v>WO-0925-02-02</x:v>
      </x:c>
      <x:c r="E154" s="2" t="n">
        <x:v>340</x:v>
      </x:c>
      <x:c r="F154" s="11" t="n">
        <x:v>0.1</x:v>
      </x:c>
      <x:c r="G154" s="11" t="n">
        <x:f>IF(F154="","",E154*F154)</x:f>
        <x:v>34</x:v>
      </x:c>
      <x:c r="H154" s="12" t="n">
        <x:f>IF(OR(G154="",'线体日汇总'!H55="",'线体日汇总'!H55=0),"",G154/'线体日汇总'!H55)</x:f>
        <x:v>0.5029585798816568</x:v>
      </x:c>
      <x:c r="I154" s="11" t="n">
        <x:f>IF(OR(H154="",'线体日汇总'!G55=""),"",H154*'线体日汇总'!G55)</x:f>
        <x:v>45.9</x:v>
      </x:c>
      <x:c r="J154" s="12" t="n">
        <x:f>IF(OR(G154="",G154=0,I154=""),"",(I154-G154)/G154)</x:f>
        <x:v>0.35</x:v>
      </x:c>
      <x:c r="K154" s="2" t="n">
        <x:v>680</x:v>
      </x:c>
      <x:c r="L154" s="2" t="n">
        <x:v>4</x:v>
      </x:c>
      <x:c r="M154" s="12" t="n">
        <x:f>IF(OR(K154="",K154=0),"",L154/K154)</x:f>
        <x:v>0.0058823529411764705</x:v>
      </x:c>
      <x:c r="N154" s="13" t="str">
        <x:v>排期偏差异常</x:v>
      </x:c>
      <x:c r="O154" s="2" t="str">
        <x:v>PP-0925</x:v>
      </x:c>
    </x:row>
    <x:row r="155" ht="36" customHeight="1">
      <x:c r="A155" s="10" t="d">
        <x:v>2026-09-25T00:00:00.000Z</x:v>
      </x:c>
      <x:c r="B155" s="2" t="str">
        <x:v>D02</x:v>
      </x:c>
      <x:c r="C155" s="2" t="str">
        <x:v>P010</x:v>
      </x:c>
      <x:c r="D155" s="2" t="str">
        <x:v>WO-0925-02-03</x:v>
      </x:c>
      <x:c r="E155" s="2" t="n">
        <x:v>220</x:v>
      </x:c>
      <x:c r="F155" s="11" t="n">
        <x:v>0.11999999999999998</x:v>
      </x:c>
      <x:c r="G155" s="11" t="n">
        <x:f>IF(F155="","",E155*F155)</x:f>
        <x:v>26.399999999999995</x:v>
      </x:c>
      <x:c r="H155" s="12" t="n">
        <x:f>IF(OR(G155="",'线体日汇总'!H55="",'线体日汇总'!H55=0),"",G155/'线体日汇总'!H55)</x:f>
        <x:v>0.39053254437869817</x:v>
      </x:c>
      <x:c r="I155" s="11" t="n">
        <x:f>IF(OR(H155="",'线体日汇总'!G55=""),"",H155*'线体日汇总'!G55)</x:f>
        <x:v>35.63999999999999</x:v>
      </x:c>
      <x:c r="J155" s="12" t="n">
        <x:f>IF(OR(G155="",G155=0,I155=""),"",(I155-G155)/G155)</x:f>
        <x:v>0.35000000000000003</x:v>
      </x:c>
      <x:c r="K155" s="2" t="n">
        <x:v>1310</x:v>
      </x:c>
      <x:c r="L155" s="2" t="n">
        <x:v>4</x:v>
      </x:c>
      <x:c r="M155" s="12" t="n">
        <x:f>IF(OR(K155="",K155=0),"",L155/K155)</x:f>
        <x:v>0.0030534351145038168</x:v>
      </x:c>
      <x:c r="N155" s="13" t="str">
        <x:v>排期偏差异常</x:v>
      </x:c>
      <x:c r="O155" s="2" t="str">
        <x:v>PP-0925</x:v>
      </x:c>
    </x:row>
    <x:row r="156" ht="36" customHeight="1">
      <x:c r="A156" s="10" t="d">
        <x:v>2026-09-25T00:00:00.000Z</x:v>
      </x:c>
      <x:c r="B156" s="2" t="str">
        <x:v>D03</x:v>
      </x:c>
      <x:c r="C156" s="2" t="str">
        <x:v>P010</x:v>
      </x:c>
      <x:c r="D156" s="2" t="str">
        <x:v>WO-0925-03-01</x:v>
      </x:c>
      <x:c r="E156" s="2" t="n">
        <x:v>160</x:v>
      </x:c>
      <x:c r="F156" s="11" t="n">
        <x:v>0.11999999999999998</x:v>
      </x:c>
      <x:c r="G156" s="11" t="n">
        <x:f>IF(F156="","",E156*F156)</x:f>
        <x:v>19.199999999999996</x:v>
      </x:c>
      <x:c r="H156" s="12" t="n">
        <x:f>IF(OR(G156="",'线体日汇总'!H56="",'线体日汇总'!H56=0),"",G156/'线体日汇总'!H56)</x:f>
        <x:v>0.1486068111455108</x:v>
      </x:c>
      <x:c r="I156" s="11" t="n">
        <x:f>IF(OR(H156="",'线体日汇总'!G56=""),"",H156*'线体日汇总'!G56)</x:f>
        <x:v>13.439995046439627</x:v>
      </x:c>
      <x:c r="J156" s="12" t="n">
        <x:f>IF(OR(G156="",G156=0,I156=""),"",(I156-G156)/G156)</x:f>
        <x:v>-0.30000025799793595</x:v>
      </x:c>
      <x:c r="K156" s="2" t="n">
        <x:v>1180</x:v>
      </x:c>
      <x:c r="L156" s="2" t="n">
        <x:v>3</x:v>
      </x:c>
      <x:c r="M156" s="12" t="n">
        <x:f>IF(OR(K156="",K156=0),"",L156/K156)</x:f>
        <x:v>0.002542372881355932</x:v>
      </x:c>
      <x:c r="N156" s="13" t="str">
        <x:v>排期偏差异常；加班占比异常</x:v>
      </x:c>
      <x:c r="O156" s="2" t="str">
        <x:v>PP-0925</x:v>
      </x:c>
    </x:row>
    <x:row r="157" ht="36" customHeight="1">
      <x:c r="A157" s="10" t="d">
        <x:v>2026-09-25T00:00:00.000Z</x:v>
      </x:c>
      <x:c r="B157" s="2" t="str">
        <x:v>D03</x:v>
      </x:c>
      <x:c r="C157" s="2" t="str">
        <x:v>P011</x:v>
      </x:c>
      <x:c r="D157" s="2" t="str">
        <x:v>WO-0925-03-02</x:v>
      </x:c>
      <x:c r="E157" s="2" t="n">
        <x:v>360</x:v>
      </x:c>
      <x:c r="F157" s="11" t="n">
        <x:v>0.15</x:v>
      </x:c>
      <x:c r="G157" s="11" t="n">
        <x:f>IF(F157="","",E157*F157)</x:f>
        <x:v>54</x:v>
      </x:c>
      <x:c r="H157" s="12" t="n">
        <x:f>IF(OR(G157="",'线体日汇总'!H56="",'线体日汇总'!H56=0),"",G157/'线体日汇总'!H56)</x:f>
        <x:v>0.4179566563467493</x:v>
      </x:c>
      <x:c r="I157" s="11" t="n">
        <x:f>IF(OR(H157="",'线体日汇总'!G56=""),"",H157*'线体日汇总'!G56)</x:f>
        <x:v>37.799986068111465</x:v>
      </x:c>
      <x:c r="J157" s="12" t="n">
        <x:f>IF(OR(G157="",G157=0,I157=""),"",(I157-G157)/G157)</x:f>
        <x:v>-0.30000025799793584</x:v>
      </x:c>
      <x:c r="K157" s="2" t="n">
        <x:v>1390</x:v>
      </x:c>
      <x:c r="L157" s="2" t="n">
        <x:v>10</x:v>
      </x:c>
      <x:c r="M157" s="12" t="n">
        <x:f>IF(OR(K157="",K157=0),"",L157/K157)</x:f>
        <x:v>0.007194244604316547</x:v>
      </x:c>
      <x:c r="N157" s="13" t="str">
        <x:v>排期偏差异常；加班占比异常</x:v>
      </x:c>
      <x:c r="O157" s="2" t="str">
        <x:v>PP-0925</x:v>
      </x:c>
    </x:row>
    <x:row r="158" ht="36" customHeight="1">
      <x:c r="A158" s="10" t="d">
        <x:v>2026-09-25T00:00:00.000Z</x:v>
      </x:c>
      <x:c r="B158" s="2" t="str">
        <x:v>D03</x:v>
      </x:c>
      <x:c r="C158" s="2" t="str">
        <x:v>P012</x:v>
      </x:c>
      <x:c r="D158" s="2" t="str">
        <x:v>WO-0925-03-03R</x:v>
      </x:c>
      <x:c r="E158" s="2" t="n">
        <x:v>280</x:v>
      </x:c>
      <x:c r="F158" s="11" t="n">
        <x:v>0.2</x:v>
      </x:c>
      <x:c r="G158" s="11" t="n">
        <x:f>IF(F158="","",E158*F158)</x:f>
        <x:v>56</x:v>
      </x:c>
      <x:c r="H158" s="12" t="n">
        <x:f>IF(OR(G158="",'线体日汇总'!H56="",'线体日汇总'!H56=0),"",G158/'线体日汇总'!H56)</x:f>
        <x:v>0.43343653250774</x:v>
      </x:c>
      <x:c r="I158" s="11" t="n">
        <x:f>IF(OR(H158="",'线体日汇总'!G56=""),"",H158*'线体日汇总'!G56)</x:f>
        <x:v>39.19998555211559</x:v>
      </x:c>
      <x:c r="J158" s="12" t="n">
        <x:f>IF(OR(G158="",G158=0,I158=""),"",(I158-G158)/G158)</x:f>
        <x:v>-0.30000025799793584</x:v>
      </x:c>
      <x:c r="K158" s="2" t="n">
        <x:v>510</x:v>
      </x:c>
      <x:c r="L158" s="2" t="n">
        <x:v>11</x:v>
      </x:c>
      <x:c r="M158" s="12" t="n">
        <x:f>IF(OR(K158="",K158=0),"",L158/K158)</x:f>
        <x:v>0.021568627450980392</x:v>
      </x:c>
      <x:c r="N158" s="13" t="str">
        <x:v>排期偏差异常；加班占比异常</x:v>
      </x:c>
      <x:c r="O158" s="2" t="str">
        <x:v>PC-032</x:v>
      </x:c>
    </x:row>
    <x:row r="159" ht="36" customHeight="1">
      <x:c r="A159" s="10" t="d">
        <x:v>2026-09-25T00:00:00.000Z</x:v>
      </x:c>
      <x:c r="B159" s="2" t="str">
        <x:v>D04</x:v>
      </x:c>
      <x:c r="C159" s="2" t="str">
        <x:v>P012</x:v>
      </x:c>
      <x:c r="D159" s="2" t="str">
        <x:v>WO-0925-04-01</x:v>
      </x:c>
      <x:c r="E159" s="2" t="n">
        <x:v>280</x:v>
      </x:c>
      <x:c r="F159" s="11" t="n">
        <x:v>0.2</x:v>
      </x:c>
      <x:c r="G159" s="11" t="n">
        <x:f>IF(F159="","",E159*F159)</x:f>
        <x:v>56</x:v>
      </x:c>
      <x:c r="H159" s="12" t="n">
        <x:f>IF(OR(G159="",'线体日汇总'!H57="",'线体日汇总'!H57=0),"",G159/'线体日汇总'!H57)</x:f>
        <x:v>0.7446808510638299</x:v>
      </x:c>
      <x:c r="I159" s="11" t="n">
        <x:f>IF(OR(H159="",'线体日汇总'!G57=""),"",H159*'线体日汇总'!G57)</x:f>
        <x:v>53.19997517730498</x:v>
      </x:c>
      <x:c r="J159" s="12" t="n">
        <x:f>IF(OR(G159="",G159=0,I159=""),"",(I159-G159)/G159)</x:f>
        <x:v>-0.050000443262411105</x:v>
      </x:c>
      <x:c r="K159" s="2" t="n">
        <x:v>850</x:v>
      </x:c>
      <x:c r="L159" s="2" t="n">
        <x:v>5</x:v>
      </x:c>
      <x:c r="M159" s="12" t="n">
        <x:f>IF(OR(K159="",K159=0),"",L159/K159)</x:f>
        <x:v>0.0058823529411764705</x:v>
      </x:c>
      <x:c r="N159" s="13" t="str">
        <x:v>正常</x:v>
      </x:c>
      <x:c r="O159" s="2" t="str">
        <x:v>PP-0925</x:v>
      </x:c>
    </x:row>
    <x:row r="160" ht="36" customHeight="1">
      <x:c r="A160" s="10" t="d">
        <x:v>2026-09-25T00:00:00.000Z</x:v>
      </x:c>
      <x:c r="B160" s="2" t="str">
        <x:v>D04</x:v>
      </x:c>
      <x:c r="C160" s="2" t="str">
        <x:v>P013</x:v>
      </x:c>
      <x:c r="D160" s="2" t="str">
        <x:v>WO-0925-04-02</x:v>
      </x:c>
      <x:c r="E160" s="2" t="n">
        <x:v>160</x:v>
      </x:c>
      <x:c r="F160" s="11" t="n">
        <x:v>0.06</x:v>
      </x:c>
      <x:c r="G160" s="11" t="n">
        <x:f>IF(F160="","",E160*F160)</x:f>
        <x:v>9.6</x:v>
      </x:c>
      <x:c r="H160" s="12" t="n">
        <x:f>IF(OR(G160="",'线体日汇总'!H57="",'线体日汇总'!H57=0),"",G160/'线体日汇总'!H57)</x:f>
        <x:v>0.12765957446808512</x:v>
      </x:c>
      <x:c r="I160" s="11" t="n">
        <x:f>IF(OR(H160="",'线体日汇总'!G57=""),"",H160*'线体日汇总'!G57)</x:f>
        <x:v>9.119995744680853</x:v>
      </x:c>
      <x:c r="J160" s="12" t="n">
        <x:f>IF(OR(G160="",G160=0,I160=""),"",(I160-G160)/G160)</x:f>
        <x:v>-0.050000443262411084</x:v>
      </x:c>
      <x:c r="K160" s="2" t="n">
        <x:v>1340</x:v>
      </x:c>
      <x:c r="L160" s="2" t="n">
        <x:v>20</x:v>
      </x:c>
      <x:c r="M160" s="12" t="n">
        <x:f>IF(OR(K160="",K160=0),"",L160/K160)</x:f>
        <x:v>0.014925373134328358</x:v>
      </x:c>
      <x:c r="N160" s="13" t="str">
        <x:v>正常</x:v>
      </x:c>
      <x:c r="O160" s="2" t="str">
        <x:v>PP-0925</x:v>
      </x:c>
    </x:row>
    <x:row r="161" ht="36" customHeight="1">
      <x:c r="A161" s="10" t="d">
        <x:v>2026-09-25T00:00:00.000Z</x:v>
      </x:c>
      <x:c r="B161" s="2" t="str">
        <x:v>D04</x:v>
      </x:c>
      <x:c r="C161" s="2" t="str">
        <x:v>P014</x:v>
      </x:c>
      <x:c r="D161" s="2" t="str">
        <x:v>WO-0925-04-03</x:v>
      </x:c>
      <x:c r="E161" s="2" t="n">
        <x:v>160</x:v>
      </x:c>
      <x:c r="F161" s="11" t="n">
        <x:v>0.060000000000000005</x:v>
      </x:c>
      <x:c r="G161" s="11" t="n">
        <x:f>IF(F161="","",E161*F161)</x:f>
        <x:v>9.600000000000001</x:v>
      </x:c>
      <x:c r="H161" s="12" t="n">
        <x:f>IF(OR(G161="",'线体日汇总'!H57="",'线体日汇总'!H57=0),"",G161/'线体日汇总'!H57)</x:f>
        <x:v>0.12765957446808515</x:v>
      </x:c>
      <x:c r="I161" s="11" t="n">
        <x:f>IF(OR(H161="",'线体日汇总'!G57=""),"",H161*'线体日汇总'!G57)</x:f>
        <x:v>9.119995744680855</x:v>
      </x:c>
      <x:c r="J161" s="12" t="n">
        <x:f>IF(OR(G161="",G161=0,I161=""),"",(I161-G161)/G161)</x:f>
        <x:v>-0.05000044326241107</x:v>
      </x:c>
      <x:c r="K161" s="2" t="n">
        <x:v>820</x:v>
      </x:c>
      <x:c r="L161" s="2" t="n">
        <x:v>6</x:v>
      </x:c>
      <x:c r="M161" s="12" t="n">
        <x:f>IF(OR(K161="",K161=0),"",L161/K161)</x:f>
        <x:v>0.007317073170731708</x:v>
      </x:c>
      <x:c r="N161" s="13" t="str">
        <x:v>正常</x:v>
      </x:c>
      <x:c r="O161" s="2" t="str">
        <x:v>PP-0925</x:v>
      </x:c>
    </x:row>
    <x:row r="162" ht="36" customHeight="1">
      <x:c r="A162" s="10" t="d">
        <x:v>2026-09-25T00:00:00.000Z</x:v>
      </x:c>
      <x:c r="B162" s="2" t="str">
        <x:v>D05</x:v>
      </x:c>
      <x:c r="C162" s="2" t="str">
        <x:v>P014</x:v>
      </x:c>
      <x:c r="D162" s="2" t="str">
        <x:v>WO-0925-05-01</x:v>
      </x:c>
      <x:c r="E162" s="2" t="n">
        <x:v>140</x:v>
      </x:c>
      <x:c r="F162" s="11" t="n">
        <x:v>0.060000000000000005</x:v>
      </x:c>
      <x:c r="G162" s="11" t="n">
        <x:f>IF(F162="","",E162*F162)</x:f>
        <x:v>8.4</x:v>
      </x:c>
      <x:c r="H162" s="12" t="n">
        <x:f>IF(OR(G162="",'线体日汇总'!H58="",'线体日汇总'!H58=0),"",G162/'线体日汇总'!H58)</x:f>
        <x:v>0.19626168224299068</x:v>
      </x:c>
      <x:c r="I162" s="11" t="n">
        <x:f>IF(OR(H162="",'线体日汇总'!G58=""),"",H162*'线体日汇总'!G58)</x:f>
        <x:v>8.819993457943925</x:v>
      </x:c>
      <x:c r="J162" s="12" t="n">
        <x:f>IF(OR(G162="",G162=0,I162=""),"",(I162-G162)/G162)</x:f>
        <x:v>0.04999922118380052</x:v>
      </x:c>
      <x:c r="K162" s="2" t="n">
        <x:v>850</x:v>
      </x:c>
      <x:c r="L162" s="2" t="n">
        <x:v>11</x:v>
      </x:c>
      <x:c r="M162" s="12" t="n">
        <x:f>IF(OR(K162="",K162=0),"",L162/K162)</x:f>
        <x:v>0.012941176470588235</x:v>
      </x:c>
      <x:c r="N162" s="13" t="str">
        <x:v>正常</x:v>
      </x:c>
      <x:c r="O162" s="2" t="str">
        <x:v>PP-0925</x:v>
      </x:c>
    </x:row>
    <x:row r="163" ht="36" customHeight="1">
      <x:c r="A163" s="10" t="d">
        <x:v>2026-09-25T00:00:00.000Z</x:v>
      </x:c>
      <x:c r="B163" s="2" t="str">
        <x:v>D05</x:v>
      </x:c>
      <x:c r="C163" s="2" t="str">
        <x:v>P015</x:v>
      </x:c>
      <x:c r="D163" s="2" t="str">
        <x:v>WO-0925-05-02</x:v>
      </x:c>
      <x:c r="E163" s="2" t="n">
        <x:v>200</x:v>
      </x:c>
      <x:c r="F163" s="11" t="n">
        <x:v>0.1</x:v>
      </x:c>
      <x:c r="G163" s="11" t="n">
        <x:f>IF(F163="","",E163*F163)</x:f>
        <x:v>20</x:v>
      </x:c>
      <x:c r="H163" s="12" t="n">
        <x:f>IF(OR(G163="",'线体日汇总'!H58="",'线体日汇总'!H58=0),"",G163/'线体日汇总'!H58)</x:f>
        <x:v>0.4672897196261683</x:v>
      </x:c>
      <x:c r="I163" s="11" t="n">
        <x:f>IF(OR(H163="",'线体日汇总'!G58=""),"",H163*'线体日汇总'!G58)</x:f>
        <x:v>20.999984423676015</x:v>
      </x:c>
      <x:c r="J163" s="12" t="n">
        <x:f>IF(OR(G163="",G163=0,I163=""),"",(I163-G163)/G163)</x:f>
        <x:v>0.049999221183800735</x:v>
      </x:c>
      <x:c r="K163" s="2" t="n">
        <x:v>1160</x:v>
      </x:c>
      <x:c r="L163" s="2" t="n">
        <x:v>11</x:v>
      </x:c>
      <x:c r="M163" s="12" t="n">
        <x:f>IF(OR(K163="",K163=0),"",L163/K163)</x:f>
        <x:v>0.009482758620689655</x:v>
      </x:c>
      <x:c r="N163" s="13" t="str">
        <x:v>正常</x:v>
      </x:c>
      <x:c r="O163" s="2" t="str">
        <x:v>PP-0925</x:v>
      </x:c>
    </x:row>
    <x:row r="164" ht="36" customHeight="1">
      <x:c r="A164" s="10" t="d">
        <x:v>2026-09-25T00:00:00.000Z</x:v>
      </x:c>
      <x:c r="B164" s="2" t="str">
        <x:v>D05</x:v>
      </x:c>
      <x:c r="C164" s="2" t="str">
        <x:v>P016</x:v>
      </x:c>
      <x:c r="D164" s="2" t="str">
        <x:v>WO-0925-05-03</x:v>
      </x:c>
      <x:c r="E164" s="2" t="n">
        <x:v>120</x:v>
      </x:c>
      <x:c r="F164" s="11" t="n">
        <x:v>0.11999999999999998</x:v>
      </x:c>
      <x:c r="G164" s="11" t="n">
        <x:f>IF(F164="","",E164*F164)</x:f>
        <x:v>14.399999999999999</x:v>
      </x:c>
      <x:c r="H164" s="12" t="n">
        <x:f>IF(OR(G164="",'线体日汇总'!H58="",'线体日汇总'!H58=0),"",G164/'线体日汇总'!H58)</x:f>
        <x:v>0.3364485981308411</x:v>
      </x:c>
      <x:c r="I164" s="11" t="n">
        <x:f>IF(OR(H164="",'线体日汇总'!G58=""),"",H164*'线体日汇总'!G58)</x:f>
        <x:v>15.119988785046727</x:v>
      </x:c>
      <x:c r="J164" s="12" t="n">
        <x:f>IF(OR(G164="",G164=0,I164=""),"",(I164-G164)/G164)</x:f>
        <x:v>0.04999922118380062</x:v>
      </x:c>
      <x:c r="K164" s="2" t="n">
        <x:v>910</x:v>
      </x:c>
      <x:c r="L164" s="2" t="n">
        <x:v>8</x:v>
      </x:c>
      <x:c r="M164" s="12" t="n">
        <x:f>IF(OR(K164="",K164=0),"",L164/K164)</x:f>
        <x:v>0.008791208791208791</x:v>
      </x:c>
      <x:c r="N164" s="13" t="str">
        <x:v>正常</x:v>
      </x:c>
      <x:c r="O164" s="2" t="str">
        <x:v>PP-0925</x:v>
      </x:c>
    </x:row>
    <x:row r="165" ht="36" customHeight="1">
      <x:c r="A165" s="10" t="d">
        <x:v>2026-09-25T00:00:00.000Z</x:v>
      </x:c>
      <x:c r="B165" s="2" t="str">
        <x:v>D06</x:v>
      </x:c>
      <x:c r="C165" s="2" t="str">
        <x:v>P016</x:v>
      </x:c>
      <x:c r="D165" s="2" t="str">
        <x:v>WO-0925-06-01</x:v>
      </x:c>
      <x:c r="E165" s="2" t="n">
        <x:v>260</x:v>
      </x:c>
      <x:c r="F165" s="11" t="n">
        <x:v>0.11999999999999998</x:v>
      </x:c>
      <x:c r="G165" s="11" t="n">
        <x:f>IF(F165="","",E165*F165)</x:f>
        <x:v>31.199999999999996</x:v>
      </x:c>
      <x:c r="H165" s="12" t="n">
        <x:f>IF(OR(G165="",'线体日汇总'!H59="",'线体日汇总'!H59=0),"",G165/'线体日汇总'!H59)</x:f>
        <x:v>0.2857142857142857</x:v>
      </x:c>
      <x:c r="I165" s="11" t="n">
        <x:f>IF(OR(H165="",'线体日汇总'!G59=""),"",H165*'线体日汇总'!G59)</x:f>
        <x:v>35.87999047619047</x:v>
      </x:c>
      <x:c r="J165" s="12" t="n">
        <x:f>IF(OR(G165="",G165=0,I165=""),"",(I165-G165)/G165)</x:f>
        <x:v>0.14999969474969474</x:v>
      </x:c>
      <x:c r="K165" s="2" t="n">
        <x:v>680</x:v>
      </x:c>
      <x:c r="L165" s="2" t="n">
        <x:v>7</x:v>
      </x:c>
      <x:c r="M165" s="12" t="n">
        <x:f>IF(OR(K165="",K165=0),"",L165/K165)</x:f>
        <x:v>0.010294117647058823</x:v>
      </x:c>
      <x:c r="N165" s="13" t="str">
        <x:v>加班占比异常</x:v>
      </x:c>
      <x:c r="O165" s="2" t="str">
        <x:v>PC-033</x:v>
      </x:c>
    </x:row>
    <x:row r="166" ht="36" customHeight="1">
      <x:c r="A166" s="10" t="d">
        <x:v>2026-09-25T00:00:00.000Z</x:v>
      </x:c>
      <x:c r="B166" s="2" t="str">
        <x:v>D06</x:v>
      </x:c>
      <x:c r="C166" s="2" t="str">
        <x:v>P017</x:v>
      </x:c>
      <x:c r="D166" s="2" t="str">
        <x:v>WO-0925-06-02</x:v>
      </x:c>
      <x:c r="E166" s="2" t="n">
        <x:v>120</x:v>
      </x:c>
      <x:c r="F166" s="11" t="n">
        <x:v>0.15</x:v>
      </x:c>
      <x:c r="G166" s="11" t="n">
        <x:f>IF(F166="","",E166*F166)</x:f>
        <x:v>18</x:v>
      </x:c>
      <x:c r="H166" s="12" t="n">
        <x:f>IF(OR(G166="",'线体日汇总'!H59="",'线体日汇总'!H59=0),"",G166/'线体日汇总'!H59)</x:f>
        <x:v>0.16483516483516486</x:v>
      </x:c>
      <x:c r="I166" s="11" t="n">
        <x:f>IF(OR(H166="",'线体日汇总'!G59=""),"",H166*'线体日汇总'!G59)</x:f>
        <x:v>20.69999450549451</x:v>
      </x:c>
      <x:c r="J166" s="12" t="n">
        <x:f>IF(OR(G166="",G166=0,I166=""),"",(I166-G166)/G166)</x:f>
        <x:v>0.14999969474969493</x:v>
      </x:c>
      <x:c r="K166" s="2" t="n">
        <x:v>1140</x:v>
      </x:c>
      <x:c r="L166" s="2" t="n">
        <x:v>6</x:v>
      </x:c>
      <x:c r="M166" s="12" t="n">
        <x:f>IF(OR(K166="",K166=0),"",L166/K166)</x:f>
        <x:v>0.005263157894736842</x:v>
      </x:c>
      <x:c r="N166" s="13" t="str">
        <x:v>加班占比异常</x:v>
      </x:c>
      <x:c r="O166" s="2" t="str">
        <x:v>PP-0925</x:v>
      </x:c>
    </x:row>
    <x:row r="167" ht="36" customHeight="1">
      <x:c r="A167" s="10" t="d">
        <x:v>2026-09-25T00:00:00.000Z</x:v>
      </x:c>
      <x:c r="B167" s="2" t="str">
        <x:v>D06</x:v>
      </x:c>
      <x:c r="C167" s="2" t="str">
        <x:v>P018</x:v>
      </x:c>
      <x:c r="D167" s="2" t="str">
        <x:v>WO-0925-06-03</x:v>
      </x:c>
      <x:c r="E167" s="2" t="n">
        <x:v>300</x:v>
      </x:c>
      <x:c r="F167" s="11" t="n">
        <x:v>0.2</x:v>
      </x:c>
      <x:c r="G167" s="11" t="n">
        <x:f>IF(F167="","",E167*F167)</x:f>
        <x:v>60</x:v>
      </x:c>
      <x:c r="H167" s="12" t="n">
        <x:f>IF(OR(G167="",'线体日汇总'!H59="",'线体日汇总'!H59=0),"",G167/'线体日汇总'!H59)</x:f>
        <x:v>0.5494505494505495</x:v>
      </x:c>
      <x:c r="I167" s="11" t="n">
        <x:f>IF(OR(H167="",'线体日汇总'!G59=""),"",H167*'线体日汇总'!G59)</x:f>
        <x:v>68.99998168498169</x:v>
      </x:c>
      <x:c r="J167" s="12" t="n">
        <x:f>IF(OR(G167="",G167=0,I167=""),"",(I167-G167)/G167)</x:f>
        <x:v>0.14999969474969485</x:v>
      </x:c>
      <x:c r="K167" s="2" t="n">
        <x:v>750</x:v>
      </x:c>
      <x:c r="L167" s="2" t="n">
        <x:v>10</x:v>
      </x:c>
      <x:c r="M167" s="12" t="n">
        <x:f>IF(OR(K167="",K167=0),"",L167/K167)</x:f>
        <x:v>0.013333333333333334</x:v>
      </x:c>
      <x:c r="N167" s="13" t="str">
        <x:v>加班占比异常</x:v>
      </x:c>
      <x:c r="O167" s="2" t="str">
        <x:v>PP-0925</x:v>
      </x:c>
    </x:row>
    <x:row r="168" ht="36" customHeight="1">
      <x:c r="A168" s="10" t="d">
        <x:v>2026-09-25T00:00:00.000Z</x:v>
      </x:c>
      <x:c r="B168" s="2" t="str">
        <x:v>D07</x:v>
      </x:c>
      <x:c r="C168" s="2" t="str">
        <x:v>P018</x:v>
      </x:c>
      <x:c r="D168" s="2" t="str">
        <x:v>WO-0925-07-01</x:v>
      </x:c>
      <x:c r="E168" s="2" t="n">
        <x:v>240</x:v>
      </x:c>
      <x:c r="F168" s="11" t="n">
        <x:v>0.2</x:v>
      </x:c>
      <x:c r="G168" s="11" t="n">
        <x:f>IF(F168="","",E168*F168)</x:f>
        <x:v>48</x:v>
      </x:c>
      <x:c r="H168" s="12" t="n">
        <x:f>IF(OR(G168="",'线体日汇总'!H60="",'线体日汇总'!H60=0),"",G168/'线体日汇总'!H60)</x:f>
        <x:v>0.594059405940594</x:v>
      </x:c>
      <x:c r="I168" s="11" t="n">
        <x:f>IF(OR(H168="",'线体日汇总'!G60=""),"",H168*'线体日汇总'!G60)</x:f>
        <x:v>57.600019801980196</x:v>
      </x:c>
      <x:c r="J168" s="12" t="n">
        <x:f>IF(OR(G168="",G168=0,I168=""),"",(I168-G168)/G168)</x:f>
        <x:v>0.20000041254125409</x:v>
      </x:c>
      <x:c r="K168" s="2" t="n">
        <x:v>950</x:v>
      </x:c>
      <x:c r="L168" s="2" t="n">
        <x:v>7</x:v>
      </x:c>
      <x:c r="M168" s="12" t="n">
        <x:f>IF(OR(K168="",K168=0),"",L168/K168)</x:f>
        <x:v>0.007368421052631579</x:v>
      </x:c>
      <x:c r="N168" s="13" t="str">
        <x:v>排期偏差异常</x:v>
      </x:c>
      <x:c r="O168" s="2" t="str">
        <x:v>PP-0925</x:v>
      </x:c>
    </x:row>
    <x:row r="169" ht="36" customHeight="1">
      <x:c r="A169" s="10" t="d">
        <x:v>2026-09-25T00:00:00.000Z</x:v>
      </x:c>
      <x:c r="B169" s="2" t="str">
        <x:v>D07</x:v>
      </x:c>
      <x:c r="C169" s="2" t="str">
        <x:v>P019</x:v>
      </x:c>
      <x:c r="D169" s="2" t="str">
        <x:v>WO-0925-07-02</x:v>
      </x:c>
      <x:c r="E169" s="2" t="n">
        <x:v>360</x:v>
      </x:c>
      <x:c r="F169" s="11" t="n">
        <x:v>0.06</x:v>
      </x:c>
      <x:c r="G169" s="11" t="n">
        <x:f>IF(F169="","",E169*F169)</x:f>
        <x:v>21.599999999999998</x:v>
      </x:c>
      <x:c r="H169" s="12" t="n">
        <x:f>IF(OR(G169="",'线体日汇总'!H60="",'线体日汇总'!H60=0),"",G169/'线体日汇总'!H60)</x:f>
        <x:v>0.2673267326732673</x:v>
      </x:c>
      <x:c r="I169" s="11" t="n">
        <x:f>IF(OR(H169="",'线体日汇总'!G60=""),"",H169*'线体日汇总'!G60)</x:f>
        <x:v>25.920008910891084</x:v>
      </x:c>
      <x:c r="J169" s="12" t="n">
        <x:f>IF(OR(G169="",G169=0,I169=""),"",(I169-G169)/G169)</x:f>
        <x:v>0.20000041254125403</x:v>
      </x:c>
      <x:c r="K169" s="2" t="n">
        <x:v>760</x:v>
      </x:c>
      <x:c r="L169" s="2" t="n">
        <x:v>11</x:v>
      </x:c>
      <x:c r="M169" s="12" t="n">
        <x:f>IF(OR(K169="",K169=0),"",L169/K169)</x:f>
        <x:v>0.014473684210526316</x:v>
      </x:c>
      <x:c r="N169" s="13" t="str">
        <x:v>排期偏差异常</x:v>
      </x:c>
      <x:c r="O169" s="2" t="str">
        <x:v>PP-0925</x:v>
      </x:c>
    </x:row>
    <x:row r="170" ht="36" customHeight="1">
      <x:c r="A170" s="10" t="d">
        <x:v>2026-09-25T00:00:00.000Z</x:v>
      </x:c>
      <x:c r="B170" s="2" t="str">
        <x:v>D07</x:v>
      </x:c>
      <x:c r="C170" s="2" t="str">
        <x:v>P020</x:v>
      </x:c>
      <x:c r="D170" s="2" t="str">
        <x:v>WO-0925-07-03</x:v>
      </x:c>
      <x:c r="E170" s="2" t="n">
        <x:v>140</x:v>
      </x:c>
      <x:c r="F170" s="11" t="n">
        <x:v>0.08</x:v>
      </x:c>
      <x:c r="G170" s="11" t="n">
        <x:f>IF(F170="","",E170*F170)</x:f>
        <x:v>11.200000000000001</x:v>
      </x:c>
      <x:c r="H170" s="12" t="n">
        <x:f>IF(OR(G170="",'线体日汇总'!H60="",'线体日汇总'!H60=0),"",G170/'线体日汇总'!H60)</x:f>
        <x:v>0.13861386138613863</x:v>
      </x:c>
      <x:c r="I170" s="11" t="n">
        <x:f>IF(OR(H170="",'线体日汇总'!G60=""),"",H170*'线体日汇总'!G60)</x:f>
        <x:v>13.440004620462046</x:v>
      </x:c>
      <x:c r="J170" s="12" t="n">
        <x:f>IF(OR(G170="",G170=0,I170=""),"",(I170-G170)/G170)</x:f>
        <x:v>0.200000412541254</x:v>
      </x:c>
      <x:c r="K170" s="2" t="n">
        <x:v>890</x:v>
      </x:c>
      <x:c r="L170" s="2" t="n">
        <x:v>8</x:v>
      </x:c>
      <x:c r="M170" s="12" t="n">
        <x:f>IF(OR(K170="",K170=0),"",L170/K170)</x:f>
        <x:v>0.008988764044943821</x:v>
      </x:c>
      <x:c r="N170" s="13" t="str">
        <x:v>排期偏差异常</x:v>
      </x:c>
      <x:c r="O170" s="2" t="str">
        <x:v>PP-0925</x:v>
      </x:c>
    </x:row>
    <x:row r="171" ht="36" customHeight="1">
      <x:c r="A171" s="10" t="d">
        <x:v>2026-09-25T00:00:00.000Z</x:v>
      </x:c>
      <x:c r="B171" s="2" t="str">
        <x:v>D08</x:v>
      </x:c>
      <x:c r="C171" s="2" t="str">
        <x:v>P020</x:v>
      </x:c>
      <x:c r="D171" s="2" t="str">
        <x:v>WO-0925-08-01</x:v>
      </x:c>
      <x:c r="E171" s="2" t="n">
        <x:v>120</x:v>
      </x:c>
      <x:c r="F171" s="11" t="n">
        <x:v>0.08</x:v>
      </x:c>
      <x:c r="G171" s="11" t="n">
        <x:f>IF(F171="","",E171*F171)</x:f>
        <x:v>9.6</x:v>
      </x:c>
      <x:c r="H171" s="12" t="n">
        <x:f>IF(OR(G171="",'线体日汇总'!H61="",'线体日汇总'!H61=0),"",G171/'线体日汇总'!H61)</x:f>
        <x:v>0.2388059701492537</x:v>
      </x:c>
      <x:c r="I171" s="11" t="n">
        <x:f>IF(OR(H171="",'线体日汇总'!G61=""),"",H171*'线体日汇总'!G61)</x:f>
        <x:v>7.6800079601990054</x:v>
      </x:c>
      <x:c r="J171" s="12" t="n">
        <x:f>IF(OR(G171="",G171=0,I171=""),"",(I171-G171)/G171)</x:f>
        <x:v>-0.19999917081260357</x:v>
      </x:c>
      <x:c r="K171" s="2" t="n">
        <x:v>1060</x:v>
      </x:c>
      <x:c r="L171" s="2" t="n">
        <x:v>11</x:v>
      </x:c>
      <x:c r="M171" s="12" t="n">
        <x:f>IF(OR(K171="",K171=0),"",L171/K171)</x:f>
        <x:v>0.010377358490566037</x:v>
      </x:c>
      <x:c r="N171" s="13" t="str">
        <x:v>正常</x:v>
      </x:c>
      <x:c r="O171" s="2" t="str">
        <x:v>PP-0925</x:v>
      </x:c>
    </x:row>
    <x:row r="172" ht="36" customHeight="1">
      <x:c r="A172" s="10" t="d">
        <x:v>2026-09-25T00:00:00.000Z</x:v>
      </x:c>
      <x:c r="B172" s="2" t="str">
        <x:v>D08</x:v>
      </x:c>
      <x:c r="C172" s="2" t="str">
        <x:v>P021</x:v>
      </x:c>
      <x:c r="D172" s="2" t="str">
        <x:v>WO-0925-08-02</x:v>
      </x:c>
      <x:c r="E172" s="2" t="n">
        <x:v>120</x:v>
      </x:c>
      <x:c r="F172" s="11" t="n">
        <x:v>0.075</x:v>
      </x:c>
      <x:c r="G172" s="11" t="n">
        <x:f>IF(F172="","",E172*F172)</x:f>
        <x:v>9</x:v>
      </x:c>
      <x:c r="H172" s="12" t="n">
        <x:f>IF(OR(G172="",'线体日汇总'!H61="",'线体日汇总'!H61=0),"",G172/'线体日汇总'!H61)</x:f>
        <x:v>0.22388059701492535</x:v>
      </x:c>
      <x:c r="I172" s="11" t="n">
        <x:f>IF(OR(H172="",'线体日汇总'!G61=""),"",H172*'线体日汇总'!G61)</x:f>
        <x:v>7.2000074626865675</x:v>
      </x:c>
      <x:c r="J172" s="12" t="n">
        <x:f>IF(OR(G172="",G172=0,I172=""),"",(I172-G172)/G172)</x:f>
        <x:v>-0.1999991708126036</x:v>
      </x:c>
      <x:c r="K172" s="2" t="n">
        <x:v>1480</x:v>
      </x:c>
      <x:c r="L172" s="2" t="n">
        <x:v>10</x:v>
      </x:c>
      <x:c r="M172" s="12" t="n">
        <x:f>IF(OR(K172="",K172=0),"",L172/K172)</x:f>
        <x:v>0.006756756756756757</x:v>
      </x:c>
      <x:c r="N172" s="13" t="str">
        <x:v>正常</x:v>
      </x:c>
      <x:c r="O172" s="2" t="str">
        <x:v>PP-0925</x:v>
      </x:c>
    </x:row>
    <x:row r="173" ht="36" customHeight="1">
      <x:c r="A173" s="10" t="d">
        <x:v>2026-09-25T00:00:00.000Z</x:v>
      </x:c>
      <x:c r="B173" s="2" t="str">
        <x:v>D08</x:v>
      </x:c>
      <x:c r="C173" s="2" t="str">
        <x:v>P022</x:v>
      </x:c>
      <x:c r="D173" s="2" t="str">
        <x:v>WO-0925-08-03</x:v>
      </x:c>
      <x:c r="E173" s="2" t="n">
        <x:v>180</x:v>
      </x:c>
      <x:c r="F173" s="11" t="n">
        <x:v>0.11999999999999998</x:v>
      </x:c>
      <x:c r="G173" s="11" t="n">
        <x:f>IF(F173="","",E173*F173)</x:f>
        <x:v>21.599999999999998</x:v>
      </x:c>
      <x:c r="H173" s="12" t="n">
        <x:f>IF(OR(G173="",'线体日汇总'!H61="",'线体日汇总'!H61=0),"",G173/'线体日汇总'!H61)</x:f>
        <x:v>0.5373134328358208</x:v>
      </x:c>
      <x:c r="I173" s="11" t="n">
        <x:f>IF(OR(H173="",'线体日汇总'!G61=""),"",H173*'线体日汇总'!G61)</x:f>
        <x:v>17.28001791044776</x:v>
      </x:c>
      <x:c r="J173" s="12" t="n">
        <x:f>IF(OR(G173="",G173=0,I173=""),"",(I173-G173)/G173)</x:f>
        <x:v>-0.1999991708126036</x:v>
      </x:c>
      <x:c r="K173" s="2" t="n">
        <x:v>1310</x:v>
      </x:c>
      <x:c r="L173" s="2" t="n">
        <x:v>3</x:v>
      </x:c>
      <x:c r="M173" s="12" t="n">
        <x:f>IF(OR(K173="",K173=0),"",L173/K173)</x:f>
        <x:v>0.0022900763358778627</x:v>
      </x:c>
      <x:c r="N173" s="13" t="str">
        <x:v>正常</x:v>
      </x:c>
      <x:c r="O173" s="2" t="str">
        <x:v>PP-0925</x:v>
      </x:c>
    </x:row>
    <x:row r="174" ht="36" customHeight="1">
      <x:c r="A174" s="10" t="d">
        <x:v>2026-09-25T00:00:00.000Z</x:v>
      </x:c>
      <x:c r="B174" s="2" t="str">
        <x:v>D09</x:v>
      </x:c>
      <x:c r="C174" s="2" t="str">
        <x:v>P022</x:v>
      </x:c>
      <x:c r="D174" s="2" t="str">
        <x:v>WO-0925-09-01</x:v>
      </x:c>
      <x:c r="E174" s="2" t="n">
        <x:v>220</x:v>
      </x:c>
      <x:c r="F174" s="11" t="n">
        <x:v>0.11999999999999998</x:v>
      </x:c>
      <x:c r="G174" s="11" t="n">
        <x:f>IF(F174="","",E174*F174)</x:f>
        <x:v>26.399999999999995</x:v>
      </x:c>
      <x:c r="H174" s="12" t="n">
        <x:f>IF(OR(G174="",'线体日汇总'!H62="",'线体日汇总'!H62=0),"",G174/'线体日汇总'!H62)</x:f>
        <x:v>0.18282548476454294</x:v>
      </x:c>
      <x:c r="I174" s="11" t="str">
        <x:f>IF(OR(H174="",'线体日汇总'!G62=""),"",H174*'线体日汇总'!G62)</x:f>
      </x:c>
      <x:c r="J174" s="12" t="str">
        <x:f>IF(OR(G174="",G174=0,I174=""),"",(I174-G174)/G174)</x:f>
      </x:c>
      <x:c r="K174" s="2" t="n">
        <x:v>950</x:v>
      </x:c>
      <x:c r="L174" s="2" t="n">
        <x:v>4</x:v>
      </x:c>
      <x:c r="M174" s="12" t="n">
        <x:f>IF(OR(K174="",K174=0),"",L174/K174)</x:f>
        <x:v>0.004210526315789474</x:v>
      </x:c>
      <x:c r="N174" s="13" t="str">
        <x:v>非生产工时超过总工时；加班占比异常</x:v>
      </x:c>
      <x:c r="O174" s="2" t="str">
        <x:v>PP-0925</x:v>
      </x:c>
    </x:row>
    <x:row r="175" ht="36" customHeight="1">
      <x:c r="A175" s="10" t="d">
        <x:v>2026-09-25T00:00:00.000Z</x:v>
      </x:c>
      <x:c r="B175" s="2" t="str">
        <x:v>D09</x:v>
      </x:c>
      <x:c r="C175" s="2" t="str">
        <x:v>P023</x:v>
      </x:c>
      <x:c r="D175" s="2" t="str">
        <x:v>WO-0925-09-02</x:v>
      </x:c>
      <x:c r="E175" s="2" t="n">
        <x:v>360</x:v>
      </x:c>
      <x:c r="F175" s="11" t="n">
        <x:v>0.15</x:v>
      </x:c>
      <x:c r="G175" s="11" t="n">
        <x:f>IF(F175="","",E175*F175)</x:f>
        <x:v>54</x:v>
      </x:c>
      <x:c r="H175" s="12" t="n">
        <x:f>IF(OR(G175="",'线体日汇总'!H62="",'线体日汇总'!H62=0),"",G175/'线体日汇总'!H62)</x:f>
        <x:v>0.37396121883656513</x:v>
      </x:c>
      <x:c r="I175" s="11" t="str">
        <x:f>IF(OR(H175="",'线体日汇总'!G62=""),"",H175*'线体日汇总'!G62)</x:f>
      </x:c>
      <x:c r="J175" s="12" t="str">
        <x:f>IF(OR(G175="",G175=0,I175=""),"",(I175-G175)/G175)</x:f>
      </x:c>
      <x:c r="K175" s="2" t="n">
        <x:v>880</x:v>
      </x:c>
      <x:c r="L175" s="2" t="n">
        <x:v>7</x:v>
      </x:c>
      <x:c r="M175" s="12" t="n">
        <x:f>IF(OR(K175="",K175=0),"",L175/K175)</x:f>
        <x:v>0.007954545454545454</x:v>
      </x:c>
      <x:c r="N175" s="13" t="str">
        <x:v>非生产工时超过总工时；加班占比异常</x:v>
      </x:c>
      <x:c r="O175" s="2" t="str">
        <x:v>PP-0925</x:v>
      </x:c>
    </x:row>
    <x:row r="176" ht="36" customHeight="1">
      <x:c r="A176" s="10" t="d">
        <x:v>2026-09-25T00:00:00.000Z</x:v>
      </x:c>
      <x:c r="B176" s="2" t="str">
        <x:v>D09</x:v>
      </x:c>
      <x:c r="C176" s="2" t="str">
        <x:v>P024</x:v>
      </x:c>
      <x:c r="D176" s="2" t="str">
        <x:v>WO-0925-09-03</x:v>
      </x:c>
      <x:c r="E176" s="2" t="n">
        <x:v>320</x:v>
      </x:c>
      <x:c r="F176" s="11" t="n">
        <x:v>0.2</x:v>
      </x:c>
      <x:c r="G176" s="11" t="n">
        <x:f>IF(F176="","",E176*F176)</x:f>
        <x:v>64</x:v>
      </x:c>
      <x:c r="H176" s="12" t="n">
        <x:f>IF(OR(G176="",'线体日汇总'!H62="",'线体日汇总'!H62=0),"",G176/'线体日汇总'!H62)</x:f>
        <x:v>0.443213296398892</x:v>
      </x:c>
      <x:c r="I176" s="11" t="str">
        <x:f>IF(OR(H176="",'线体日汇总'!G62=""),"",H176*'线体日汇总'!G62)</x:f>
      </x:c>
      <x:c r="J176" s="12" t="str">
        <x:f>IF(OR(G176="",G176=0,I176=""),"",(I176-G176)/G176)</x:f>
      </x:c>
      <x:c r="K176" s="2" t="n">
        <x:v>1230</x:v>
      </x:c>
      <x:c r="L176" s="2" t="n">
        <x:v>10</x:v>
      </x:c>
      <x:c r="M176" s="12" t="n">
        <x:f>IF(OR(K176="",K176=0),"",L176/K176)</x:f>
        <x:v>0.008130081300813009</x:v>
      </x:c>
      <x:c r="N176" s="13" t="str">
        <x:v>非生产工时超过总工时；加班占比异常</x:v>
      </x:c>
      <x:c r="O176" s="2" t="str">
        <x:v>PP-0925</x:v>
      </x:c>
    </x:row>
    <x:row r="177" ht="36" customHeight="1">
      <x:c r="A177" s="10" t="d">
        <x:v>2026-09-25T00:00:00.000Z</x:v>
      </x:c>
      <x:c r="B177" s="2" t="str">
        <x:v>D10</x:v>
      </x:c>
      <x:c r="C177" s="2" t="str">
        <x:v>P024</x:v>
      </x:c>
      <x:c r="D177" s="2" t="str">
        <x:v>WO-0925-10-01</x:v>
      </x:c>
      <x:c r="E177" s="2" t="n">
        <x:v>180</x:v>
      </x:c>
      <x:c r="F177" s="11" t="n">
        <x:v>0.2</x:v>
      </x:c>
      <x:c r="G177" s="11" t="n">
        <x:f>IF(F177="","",E177*F177)</x:f>
        <x:v>36</x:v>
      </x:c>
      <x:c r="H177" s="12" t="n">
        <x:f>IF(OR(G177="",'线体日汇总'!H63="",'线体日汇总'!H63=0),"",G177/'线体日汇总'!H63)</x:f>
        <x:v>0.4166666666666667</x:v>
      </x:c>
      <x:c r="I177" s="11" t="n">
        <x:f>IF(OR(H177="",'线体日汇总'!G63=""),"",H177*'线体日汇总'!G63)</x:f>
        <x:v>25.20001388888889</x:v>
      </x:c>
      <x:c r="J177" s="12" t="n">
        <x:f>IF(OR(G177="",G177=0,I177=""),"",(I177-G177)/G177)</x:f>
        <x:v>-0.29999961419753085</x:v>
      </x:c>
      <x:c r="K177" s="2" t="n">
        <x:v>1050</x:v>
      </x:c>
      <x:c r="L177" s="2" t="n">
        <x:v>7</x:v>
      </x:c>
      <x:c r="M177" s="12" t="n">
        <x:f>IF(OR(K177="",K177=0),"",L177/K177)</x:f>
        <x:v>0.006666666666666667</x:v>
      </x:c>
      <x:c r="N177" s="13" t="str">
        <x:v>排期偏差异常</x:v>
      </x:c>
      <x:c r="O177" s="2" t="str">
        <x:v>PP-0925</x:v>
      </x:c>
    </x:row>
    <x:row r="178" ht="36" customHeight="1">
      <x:c r="A178" s="10" t="d">
        <x:v>2026-09-25T00:00:00.000Z</x:v>
      </x:c>
      <x:c r="B178" s="2" t="str">
        <x:v>D10</x:v>
      </x:c>
      <x:c r="C178" s="2" t="str">
        <x:v>P025</x:v>
      </x:c>
      <x:c r="D178" s="2" t="str">
        <x:v>WO-0925-10-02</x:v>
      </x:c>
      <x:c r="E178" s="2" t="n">
        <x:v>360</x:v>
      </x:c>
      <x:c r="F178" s="11" t="n">
        <x:v>0.06</x:v>
      </x:c>
      <x:c r="G178" s="11" t="n">
        <x:f>IF(F178="","",E178*F178)</x:f>
        <x:v>21.599999999999998</x:v>
      </x:c>
      <x:c r="H178" s="12" t="n">
        <x:f>IF(OR(G178="",'线体日汇总'!H63="",'线体日汇总'!H63=0),"",G178/'线体日汇总'!H63)</x:f>
        <x:v>0.25</x:v>
      </x:c>
      <x:c r="I178" s="11" t="n">
        <x:f>IF(OR(H178="",'线体日汇总'!G63=""),"",H178*'线体日汇总'!G63)</x:f>
        <x:v>15.120008333333333</x:v>
      </x:c>
      <x:c r="J178" s="12" t="n">
        <x:f>IF(OR(G178="",G178=0,I178=""),"",(I178-G178)/G178)</x:f>
        <x:v>-0.2999996141975308</x:v>
      </x:c>
      <x:c r="K178" s="2" t="n">
        <x:v>990</x:v>
      </x:c>
      <x:c r="L178" s="2" t="n">
        <x:v>9</x:v>
      </x:c>
      <x:c r="M178" s="12" t="n">
        <x:f>IF(OR(K178="",K178=0),"",L178/K178)</x:f>
        <x:v>0.00909090909090909</x:v>
      </x:c>
      <x:c r="N178" s="13" t="str">
        <x:v>排期偏差异常</x:v>
      </x:c>
      <x:c r="O178" s="2" t="str">
        <x:v>PC-035</x:v>
      </x:c>
    </x:row>
    <x:row r="179" ht="36" customHeight="1">
      <x:c r="A179" s="10" t="d">
        <x:v>2026-09-25T00:00:00.000Z</x:v>
      </x:c>
      <x:c r="B179" s="2" t="str">
        <x:v>D10</x:v>
      </x:c>
      <x:c r="C179" s="2" t="str">
        <x:v>P026</x:v>
      </x:c>
      <x:c r="D179" s="2" t="str">
        <x:v>WO-0925-10-03</x:v>
      </x:c>
      <x:c r="E179" s="2" t="n">
        <x:v>360</x:v>
      </x:c>
      <x:c r="F179" s="11" t="n">
        <x:v>0.08</x:v>
      </x:c>
      <x:c r="G179" s="11" t="n">
        <x:f>IF(F179="","",E179*F179)</x:f>
        <x:v>28.8</x:v>
      </x:c>
      <x:c r="H179" s="12" t="n">
        <x:f>IF(OR(G179="",'线体日汇总'!H63="",'线体日汇总'!H63=0),"",G179/'线体日汇总'!H63)</x:f>
        <x:v>0.33333333333333337</x:v>
      </x:c>
      <x:c r="I179" s="11" t="n">
        <x:f>IF(OR(H179="",'线体日汇总'!G63=""),"",H179*'线体日汇总'!G63)</x:f>
        <x:v>20.160011111111114</x:v>
      </x:c>
      <x:c r="J179" s="12" t="n">
        <x:f>IF(OR(G179="",G179=0,I179=""),"",(I179-G179)/G179)</x:f>
        <x:v>-0.2999996141975308</x:v>
      </x:c>
      <x:c r="K179" s="2" t="n">
        <x:v>680</x:v>
      </x:c>
      <x:c r="L179" s="2" t="n">
        <x:v>12</x:v>
      </x:c>
      <x:c r="M179" s="12" t="n">
        <x:f>IF(OR(K179="",K179=0),"",L179/K179)</x:f>
        <x:v>0.01764705882352941</x:v>
      </x:c>
      <x:c r="N179" s="13" t="str">
        <x:v>排期偏差异常</x:v>
      </x:c>
      <x:c r="O179" s="2" t="str">
        <x:v>PP-0925</x:v>
      </x:c>
    </x:row>
    <x:row r="180" ht="36" customHeight="1">
      <x:c r="A180" s="10" t="d">
        <x:v>2026-09-25T00:00:00.000Z</x:v>
      </x:c>
      <x:c r="B180" s="2" t="str">
        <x:v>D11</x:v>
      </x:c>
      <x:c r="C180" s="2" t="str">
        <x:v>P026</x:v>
      </x:c>
      <x:c r="D180" s="2" t="str">
        <x:v>WO-0925-11-01</x:v>
      </x:c>
      <x:c r="E180" s="2" t="n">
        <x:v>240</x:v>
      </x:c>
      <x:c r="F180" s="11" t="n">
        <x:v>0.08</x:v>
      </x:c>
      <x:c r="G180" s="11" t="n">
        <x:f>IF(F180="","",E180*F180)</x:f>
        <x:v>19.2</x:v>
      </x:c>
      <x:c r="H180" s="12" t="n">
        <x:f>IF(OR(G180="",'线体日汇总'!H64="",'线体日汇总'!H64=0),"",G180/'线体日汇总'!H64)</x:f>
        <x:v>0.28318584070796454</x:v>
      </x:c>
      <x:c r="I180" s="11" t="n">
        <x:f>IF(OR(H180="",'线体日汇总'!G64=""),"",H180*'线体日汇总'!G64)</x:f>
        <x:v>18.239999999999995</x:v>
      </x:c>
      <x:c r="J180" s="12" t="n">
        <x:f>IF(OR(G180="",G180=0,I180=""),"",(I180-G180)/G180)</x:f>
        <x:v>-0.05000000000000023</x:v>
      </x:c>
      <x:c r="K180" s="2" t="n">
        <x:v>920</x:v>
      </x:c>
      <x:c r="L180" s="2" t="n">
        <x:v>9</x:v>
      </x:c>
      <x:c r="M180" s="12" t="n">
        <x:f>IF(OR(K180="",K180=0),"",L180/K180)</x:f>
        <x:v>0.009782608695652175</x:v>
      </x:c>
      <x:c r="N180" s="13" t="str">
        <x:v>正常</x:v>
      </x:c>
      <x:c r="O180" s="2" t="str">
        <x:v>PP-0925</x:v>
      </x:c>
    </x:row>
    <x:row r="181" ht="36" customHeight="1">
      <x:c r="A181" s="10" t="d">
        <x:v>2026-09-25T00:00:00.000Z</x:v>
      </x:c>
      <x:c r="B181" s="2" t="str">
        <x:v>D11</x:v>
      </x:c>
      <x:c r="C181" s="2" t="str">
        <x:v>P027</x:v>
      </x:c>
      <x:c r="D181" s="2" t="str">
        <x:v>WO-0925-11-02</x:v>
      </x:c>
      <x:c r="E181" s="2" t="n">
        <x:v>360</x:v>
      </x:c>
      <x:c r="F181" s="11" t="n">
        <x:v>0.1</x:v>
      </x:c>
      <x:c r="G181" s="11" t="n">
        <x:f>IF(F181="","",E181*F181)</x:f>
        <x:v>36</x:v>
      </x:c>
      <x:c r="H181" s="12" t="n">
        <x:f>IF(OR(G181="",'线体日汇总'!H64="",'线体日汇总'!H64=0),"",G181/'线体日汇总'!H64)</x:f>
        <x:v>0.5309734513274336</x:v>
      </x:c>
      <x:c r="I181" s="11" t="n">
        <x:f>IF(OR(H181="",'线体日汇总'!G64=""),"",H181*'线体日汇总'!G64)</x:f>
        <x:v>34.199999999999996</x:v>
      </x:c>
      <x:c r="J181" s="12" t="n">
        <x:f>IF(OR(G181="",G181=0,I181=""),"",(I181-G181)/G181)</x:f>
        <x:v>-0.05000000000000012</x:v>
      </x:c>
      <x:c r="K181" s="2" t="n">
        <x:v>1710</x:v>
      </x:c>
      <x:c r="L181" s="2" t="n">
        <x:v>8</x:v>
      </x:c>
      <x:c r="M181" s="12" t="n">
        <x:f>IF(OR(K181="",K181=0),"",L181/K181)</x:f>
        <x:v>0.004678362573099415</x:v>
      </x:c>
      <x:c r="N181" s="13" t="str">
        <x:v>正常</x:v>
      </x:c>
      <x:c r="O181" s="2" t="str">
        <x:v>PP-0925</x:v>
      </x:c>
    </x:row>
    <x:row r="182" ht="36" customHeight="1">
      <x:c r="A182" s="10" t="d">
        <x:v>2026-09-25T00:00:00.000Z</x:v>
      </x:c>
      <x:c r="B182" s="2" t="str">
        <x:v>D11</x:v>
      </x:c>
      <x:c r="C182" s="2" t="str">
        <x:v>P028</x:v>
      </x:c>
      <x:c r="D182" s="2" t="str">
        <x:v>WO-0925-11-03</x:v>
      </x:c>
      <x:c r="E182" s="2" t="n">
        <x:v>140</x:v>
      </x:c>
      <x:c r="F182" s="11" t="n">
        <x:v>0.09000000000000001</x:v>
      </x:c>
      <x:c r="G182" s="11" t="n">
        <x:f>IF(F182="","",E182*F182)</x:f>
        <x:v>12.600000000000001</x:v>
      </x:c>
      <x:c r="H182" s="12" t="n">
        <x:f>IF(OR(G182="",'线体日汇总'!H64="",'线体日汇总'!H64=0),"",G182/'线体日汇总'!H64)</x:f>
        <x:v>0.18584070796460175</x:v>
      </x:c>
      <x:c r="I182" s="11" t="n">
        <x:f>IF(OR(H182="",'线体日汇总'!G64=""),"",H182*'线体日汇总'!G64)</x:f>
        <x:v>11.969999999999999</x:v>
      </x:c>
      <x:c r="J182" s="12" t="n">
        <x:f>IF(OR(G182="",G182=0,I182=""),"",(I182-G182)/G182)</x:f>
        <x:v>-0.0500000000000002</x:v>
      </x:c>
      <x:c r="K182" s="2" t="n">
        <x:v>970</x:v>
      </x:c>
      <x:c r="L182" s="2" t="n">
        <x:v>8</x:v>
      </x:c>
      <x:c r="M182" s="12" t="n">
        <x:f>IF(OR(K182="",K182=0),"",L182/K182)</x:f>
        <x:v>0.008247422680412371</x:v>
      </x:c>
      <x:c r="N182" s="13" t="str">
        <x:v>正常</x:v>
      </x:c>
      <x:c r="O182" s="2" t="str">
        <x:v>PP-0925</x:v>
      </x:c>
    </x:row>
    <x:row r="183" ht="36" customHeight="1">
      <x:c r="A183" s="10" t="d">
        <x:v>2026-09-25T00:00:00.000Z</x:v>
      </x:c>
      <x:c r="B183" s="2" t="str">
        <x:v>D12</x:v>
      </x:c>
      <x:c r="C183" s="2" t="str">
        <x:v>P028</x:v>
      </x:c>
      <x:c r="D183" s="2" t="str">
        <x:v>WO-0925-12-01</x:v>
      </x:c>
      <x:c r="E183" s="2" t="n">
        <x:v>240</x:v>
      </x:c>
      <x:c r="F183" s="11" t="n">
        <x:v>0.09000000000000001</x:v>
      </x:c>
      <x:c r="G183" s="11" t="n">
        <x:f>IF(F183="","",E183*F183)</x:f>
        <x:v>21.6</x:v>
      </x:c>
      <x:c r="H183" s="12" t="n">
        <x:f>IF(OR(G183="",'线体日汇总'!H65="",'线体日汇总'!H65=0),"",G183/'线体日汇总'!H65)</x:f>
        <x:v>0.18060200668896323</x:v>
      </x:c>
      <x:c r="I183" s="11" t="n">
        <x:f>IF(OR(H183="",'线体日汇总'!G65=""),"",H183*'线体日汇总'!G65)</x:f>
        <x:v>22.680000000000003</x:v>
      </x:c>
      <x:c r="J183" s="12" t="n">
        <x:f>IF(OR(G183="",G183=0,I183=""),"",(I183-G183)/G183)</x:f>
        <x:v>0.05000000000000008</x:v>
      </x:c>
      <x:c r="K183" s="2" t="n">
        <x:v>1450</x:v>
      </x:c>
      <x:c r="L183" s="2" t="n">
        <x:v>7</x:v>
      </x:c>
      <x:c r="M183" s="12" t="n">
        <x:f>IF(OR(K183="",K183=0),"",L183/K183)</x:f>
        <x:v>0.004827586206896552</x:v>
      </x:c>
      <x:c r="N183" s="13" t="str">
        <x:v>加班占比异常</x:v>
      </x:c>
      <x:c r="O183" s="2" t="str">
        <x:v>PP-0925</x:v>
      </x:c>
    </x:row>
    <x:row r="184" ht="36" customHeight="1">
      <x:c r="A184" s="10" t="d">
        <x:v>2026-09-25T00:00:00.000Z</x:v>
      </x:c>
      <x:c r="B184" s="2" t="str">
        <x:v>D12</x:v>
      </x:c>
      <x:c r="C184" s="2" t="str">
        <x:v>P029</x:v>
      </x:c>
      <x:c r="D184" s="2" t="str">
        <x:v>WO-0925-12-02</x:v>
      </x:c>
      <x:c r="E184" s="2" t="n">
        <x:v>200</x:v>
      </x:c>
      <x:c r="F184" s="11" t="n">
        <x:v>0.15</x:v>
      </x:c>
      <x:c r="G184" s="11" t="n">
        <x:f>IF(F184="","",E184*F184)</x:f>
        <x:v>30</x:v>
      </x:c>
      <x:c r="H184" s="12" t="n">
        <x:f>IF(OR(G184="",'线体日汇总'!H65="",'线体日汇总'!H65=0),"",G184/'线体日汇总'!H65)</x:f>
        <x:v>0.2508361204013378</x:v>
      </x:c>
      <x:c r="I184" s="11" t="n">
        <x:f>IF(OR(H184="",'线体日汇总'!G65=""),"",H184*'线体日汇总'!G65)</x:f>
        <x:v>31.500000000000004</x:v>
      </x:c>
      <x:c r="J184" s="12" t="n">
        <x:f>IF(OR(G184="",G184=0,I184=""),"",(I184-G184)/G184)</x:f>
        <x:v>0.05000000000000012</x:v>
      </x:c>
      <x:c r="K184" s="2" t="n">
        <x:v>1510</x:v>
      </x:c>
      <x:c r="L184" s="2" t="n">
        <x:v>8</x:v>
      </x:c>
      <x:c r="M184" s="12" t="n">
        <x:f>IF(OR(K184="",K184=0),"",L184/K184)</x:f>
        <x:v>0.005298013245033113</x:v>
      </x:c>
      <x:c r="N184" s="13" t="str">
        <x:v>加班占比异常</x:v>
      </x:c>
      <x:c r="O184" s="2" t="str">
        <x:v>PP-0925</x:v>
      </x:c>
    </x:row>
    <x:row r="185" ht="36" customHeight="1">
      <x:c r="A185" s="10" t="d">
        <x:v>2026-09-25T00:00:00.000Z</x:v>
      </x:c>
      <x:c r="B185" s="2" t="str">
        <x:v>D12</x:v>
      </x:c>
      <x:c r="C185" s="2" t="str">
        <x:v>P030</x:v>
      </x:c>
      <x:c r="D185" s="2" t="str">
        <x:v>WO-0925-12-03</x:v>
      </x:c>
      <x:c r="E185" s="2" t="n">
        <x:v>340</x:v>
      </x:c>
      <x:c r="F185" s="11" t="n">
        <x:v>0.2</x:v>
      </x:c>
      <x:c r="G185" s="11" t="n">
        <x:f>IF(F185="","",E185*F185)</x:f>
        <x:v>68</x:v>
      </x:c>
      <x:c r="H185" s="12" t="n">
        <x:f>IF(OR(G185="",'线体日汇总'!H65="",'线体日汇总'!H65=0),"",G185/'线体日汇总'!H65)</x:f>
        <x:v>0.5685618729096991</x:v>
      </x:c>
      <x:c r="I185" s="11" t="n">
        <x:f>IF(OR(H185="",'线体日汇总'!G65=""),"",H185*'线体日汇总'!G65)</x:f>
        <x:v>71.40000000000002</x:v>
      </x:c>
      <x:c r="J185" s="12" t="n">
        <x:f>IF(OR(G185="",G185=0,I185=""),"",(I185-G185)/G185)</x:f>
        <x:v>0.050000000000000294</x:v>
      </x:c>
      <x:c r="K185" s="2" t="n">
        <x:v>960</x:v>
      </x:c>
      <x:c r="L185" s="2" t="n">
        <x:v>6</x:v>
      </x:c>
      <x:c r="M185" s="12" t="n">
        <x:f>IF(OR(K185="",K185=0),"",L185/K185)</x:f>
        <x:v>0.00625</x:v>
      </x:c>
      <x:c r="N185" s="13" t="str">
        <x:v>加班占比异常</x:v>
      </x:c>
      <x:c r="O185" s="2" t="str">
        <x:v>PP-0925</x:v>
      </x:c>
    </x:row>
    <x:row r="186" ht="36" customHeight="1">
      <x:c r="A186" s="10" t="d">
        <x:v>2026-09-26T00:00:00.000Z</x:v>
      </x:c>
      <x:c r="B186" s="2" t="str">
        <x:v>D01</x:v>
      </x:c>
      <x:c r="C186" s="2" t="str">
        <x:v>P007</x:v>
      </x:c>
      <x:c r="D186" s="2" t="str">
        <x:v>WO-0926-01-01</x:v>
      </x:c>
      <x:c r="E186" s="2" t="n">
        <x:v>360</x:v>
      </x:c>
      <x:c r="F186" s="11" t="n">
        <x:v>0.06</x:v>
      </x:c>
      <x:c r="G186" s="11" t="n">
        <x:f>IF(F186="","",E186*F186)</x:f>
        <x:v>21.599999999999998</x:v>
      </x:c>
      <x:c r="H186" s="12" t="n">
        <x:f>IF(OR(G186="",'线体日汇总'!H66="",'线体日汇总'!H66=0),"",G186/'线体日汇总'!H66)</x:f>
        <x:v>0.28125</x:v>
      </x:c>
      <x:c r="I186" s="11" t="n">
        <x:f>IF(OR(H186="",'线体日汇总'!G66=""),"",H186*'线体日汇总'!G66)</x:f>
        <x:v>24.839999999999996</x:v>
      </x:c>
      <x:c r="J186" s="12" t="n">
        <x:f>IF(OR(G186="",G186=0,I186=""),"",(I186-G186)/G186)</x:f>
        <x:v>0.14999999999999994</x:v>
      </x:c>
      <x:c r="K186" s="2" t="n">
        <x:v>780</x:v>
      </x:c>
      <x:c r="L186" s="2" t="n">
        <x:v>10</x:v>
      </x:c>
      <x:c r="M186" s="12" t="n">
        <x:f>IF(OR(K186="",K186=0),"",L186/K186)</x:f>
        <x:v>0.01282051282051282</x:v>
      </x:c>
      <x:c r="N186" s="13" t="str">
        <x:v>正常</x:v>
      </x:c>
      <x:c r="O186" s="2" t="str">
        <x:v>PP-0926</x:v>
      </x:c>
    </x:row>
    <x:row r="187" ht="36" customHeight="1">
      <x:c r="A187" s="10" t="d">
        <x:v>2026-09-26T00:00:00.000Z</x:v>
      </x:c>
      <x:c r="B187" s="2" t="str">
        <x:v>D01</x:v>
      </x:c>
      <x:c r="C187" s="2" t="str">
        <x:v>P008</x:v>
      </x:c>
      <x:c r="D187" s="2" t="str">
        <x:v>WO-0926-01-02</x:v>
      </x:c>
      <x:c r="E187" s="2" t="n">
        <x:v>320</x:v>
      </x:c>
      <x:c r="F187" s="11" t="n">
        <x:v>0.060000000000000005</x:v>
      </x:c>
      <x:c r="G187" s="11" t="n">
        <x:f>IF(F187="","",E187*F187)</x:f>
        <x:v>19.200000000000003</x:v>
      </x:c>
      <x:c r="H187" s="12" t="n">
        <x:f>IF(OR(G187="",'线体日汇总'!H66="",'线体日汇总'!H66=0),"",G187/'线体日汇总'!H66)</x:f>
        <x:v>0.25000000000000006</x:v>
      </x:c>
      <x:c r="I187" s="11" t="n">
        <x:f>IF(OR(H187="",'线体日汇总'!G66=""),"",H187*'线体日汇总'!G66)</x:f>
        <x:v>22.080000000000002</x:v>
      </x:c>
      <x:c r="J187" s="12" t="n">
        <x:f>IF(OR(G187="",G187=0,I187=""),"",(I187-G187)/G187)</x:f>
        <x:v>0.14999999999999994</x:v>
      </x:c>
      <x:c r="K187" s="2" t="n">
        <x:v>1140</x:v>
      </x:c>
      <x:c r="L187" s="2" t="n">
        <x:v>10</x:v>
      </x:c>
      <x:c r="M187" s="12" t="n">
        <x:f>IF(OR(K187="",K187=0),"",L187/K187)</x:f>
        <x:v>0.008771929824561403</x:v>
      </x:c>
      <x:c r="N187" s="13" t="str">
        <x:v>正常</x:v>
      </x:c>
      <x:c r="O187" s="2" t="str">
        <x:v>PP-0926</x:v>
      </x:c>
    </x:row>
    <x:row r="188" ht="36" customHeight="1">
      <x:c r="A188" s="10" t="d">
        <x:v>2026-09-26T00:00:00.000Z</x:v>
      </x:c>
      <x:c r="B188" s="2" t="str">
        <x:v>D01</x:v>
      </x:c>
      <x:c r="C188" s="2" t="str">
        <x:v>P009</x:v>
      </x:c>
      <x:c r="D188" s="2" t="str">
        <x:v>WO-0926-01-03</x:v>
      </x:c>
      <x:c r="E188" s="2" t="n">
        <x:v>360</x:v>
      </x:c>
      <x:c r="F188" s="11" t="n">
        <x:v>0.1</x:v>
      </x:c>
      <x:c r="G188" s="11" t="n">
        <x:f>IF(F188="","",E188*F188)</x:f>
        <x:v>36</x:v>
      </x:c>
      <x:c r="H188" s="12" t="n">
        <x:f>IF(OR(G188="",'线体日汇总'!H66="",'线体日汇总'!H66=0),"",G188/'线体日汇总'!H66)</x:f>
        <x:v>0.46875</x:v>
      </x:c>
      <x:c r="I188" s="11" t="n">
        <x:f>IF(OR(H188="",'线体日汇总'!G66=""),"",H188*'线体日汇总'!G66)</x:f>
        <x:v>41.4</x:v>
      </x:c>
      <x:c r="J188" s="12" t="n">
        <x:f>IF(OR(G188="",G188=0,I188=""),"",(I188-G188)/G188)</x:f>
        <x:v>0.14999999999999997</x:v>
      </x:c>
      <x:c r="K188" s="2" t="n">
        <x:v>1650</x:v>
      </x:c>
      <x:c r="L188" s="2" t="n">
        <x:v>6</x:v>
      </x:c>
      <x:c r="M188" s="12" t="n">
        <x:f>IF(OR(K188="",K188=0),"",L188/K188)</x:f>
        <x:v>0.0036363636363636364</x:v>
      </x:c>
      <x:c r="N188" s="13" t="str">
        <x:v>正常</x:v>
      </x:c>
      <x:c r="O188" s="2" t="str">
        <x:v>PP-0926</x:v>
      </x:c>
    </x:row>
    <x:row r="189" ht="36" customHeight="1">
      <x:c r="A189" s="10" t="d">
        <x:v>2026-09-26T00:00:00.000Z</x:v>
      </x:c>
      <x:c r="B189" s="2" t="str">
        <x:v>D02</x:v>
      </x:c>
      <x:c r="C189" s="2" t="str">
        <x:v>P009</x:v>
      </x:c>
      <x:c r="D189" s="2" t="str">
        <x:v>WO-0926-02-01</x:v>
      </x:c>
      <x:c r="E189" s="2" t="n">
        <x:v>300</x:v>
      </x:c>
      <x:c r="F189" s="11" t="n">
        <x:v>0.1</x:v>
      </x:c>
      <x:c r="G189" s="11" t="n">
        <x:f>IF(F189="","",E189*F189)</x:f>
        <x:v>30</x:v>
      </x:c>
      <x:c r="H189" s="12" t="n">
        <x:f>IF(OR(G189="",'线体日汇总'!H67="",'线体日汇总'!H67=0),"",G189/'线体日汇总'!H67)</x:f>
        <x:v>0.27472527472527475</x:v>
      </x:c>
      <x:c r="I189" s="11" t="n">
        <x:f>IF(OR(H189="",'线体日汇总'!G67=""),"",H189*'线体日汇总'!G67)</x:f>
        <x:v>36.00000000000001</x:v>
      </x:c>
      <x:c r="J189" s="12" t="n">
        <x:f>IF(OR(G189="",G189=0,I189=""),"",(I189-G189)/G189)</x:f>
        <x:v>0.20000000000000023</x:v>
      </x:c>
      <x:c r="K189" s="2" t="n">
        <x:v>1010</x:v>
      </x:c>
      <x:c r="L189" s="2" t="n">
        <x:v>11</x:v>
      </x:c>
      <x:c r="M189" s="12" t="n">
        <x:f>IF(OR(K189="",K189=0),"",L189/K189)</x:f>
        <x:v>0.01089108910891089</x:v>
      </x:c>
      <x:c r="N189" s="13" t="str">
        <x:v>正常</x:v>
      </x:c>
      <x:c r="O189" s="2" t="str">
        <x:v>PP-0926</x:v>
      </x:c>
    </x:row>
    <x:row r="190" ht="36" customHeight="1">
      <x:c r="A190" s="10" t="d">
        <x:v>2026-09-26T00:00:00.000Z</x:v>
      </x:c>
      <x:c r="B190" s="2" t="str">
        <x:v>D02</x:v>
      </x:c>
      <x:c r="C190" s="2" t="str">
        <x:v>P010</x:v>
      </x:c>
      <x:c r="D190" s="2" t="str">
        <x:v>WO-0926-02-02</x:v>
      </x:c>
      <x:c r="E190" s="2" t="n">
        <x:v>260</x:v>
      </x:c>
      <x:c r="F190" s="11" t="n">
        <x:v>0.11999999999999998</x:v>
      </x:c>
      <x:c r="G190" s="11" t="n">
        <x:f>IF(F190="","",E190*F190)</x:f>
        <x:v>31.199999999999996</x:v>
      </x:c>
      <x:c r="H190" s="12" t="n">
        <x:f>IF(OR(G190="",'线体日汇总'!H67="",'线体日汇总'!H67=0),"",G190/'线体日汇总'!H67)</x:f>
        <x:v>0.2857142857142857</x:v>
      </x:c>
      <x:c r="I190" s="11" t="n">
        <x:f>IF(OR(H190="",'线体日汇总'!G67=""),"",H190*'线体日汇总'!G67)</x:f>
        <x:v>37.440000000000005</x:v>
      </x:c>
      <x:c r="J190" s="12" t="n">
        <x:f>IF(OR(G190="",G190=0,I190=""),"",(I190-G190)/G190)</x:f>
        <x:v>0.20000000000000032</x:v>
      </x:c>
      <x:c r="K190" s="2" t="n">
        <x:v>1130</x:v>
      </x:c>
      <x:c r="L190" s="2" t="n">
        <x:v>13</x:v>
      </x:c>
      <x:c r="M190" s="12" t="n">
        <x:f>IF(OR(K190="",K190=0),"",L190/K190)</x:f>
        <x:v>0.011504424778761062</x:v>
      </x:c>
      <x:c r="N190" s="13" t="str">
        <x:v>正常</x:v>
      </x:c>
      <x:c r="O190" s="2" t="str">
        <x:v>PP-0926</x:v>
      </x:c>
    </x:row>
    <x:row r="191" ht="36" customHeight="1">
      <x:c r="A191" s="10" t="d">
        <x:v>2026-09-26T00:00:00.000Z</x:v>
      </x:c>
      <x:c r="B191" s="2" t="str">
        <x:v>D02</x:v>
      </x:c>
      <x:c r="C191" s="2" t="str">
        <x:v>P011</x:v>
      </x:c>
      <x:c r="D191" s="2" t="str">
        <x:v>WO-0926-02-03</x:v>
      </x:c>
      <x:c r="E191" s="2" t="n">
        <x:v>320</x:v>
      </x:c>
      <x:c r="F191" s="11" t="n">
        <x:v>0.15</x:v>
      </x:c>
      <x:c r="G191" s="11" t="n">
        <x:f>IF(F191="","",E191*F191)</x:f>
        <x:v>48</x:v>
      </x:c>
      <x:c r="H191" s="12" t="n">
        <x:f>IF(OR(G191="",'线体日汇总'!H67="",'线体日汇总'!H67=0),"",G191/'线体日汇总'!H67)</x:f>
        <x:v>0.4395604395604396</x:v>
      </x:c>
      <x:c r="I191" s="11" t="n">
        <x:f>IF(OR(H191="",'线体日汇总'!G67=""),"",H191*'线体日汇总'!G67)</x:f>
        <x:v>57.600000000000016</x:v>
      </x:c>
      <x:c r="J191" s="12" t="n">
        <x:f>IF(OR(G191="",G191=0,I191=""),"",(I191-G191)/G191)</x:f>
        <x:v>0.20000000000000032</x:v>
      </x:c>
      <x:c r="K191" s="2" t="n">
        <x:v>1300</x:v>
      </x:c>
      <x:c r="L191" s="2" t="n">
        <x:v>10</x:v>
      </x:c>
      <x:c r="M191" s="12" t="n">
        <x:f>IF(OR(K191="",K191=0),"",L191/K191)</x:f>
        <x:v>0.007692307692307693</x:v>
      </x:c>
      <x:c r="N191" s="13" t="str">
        <x:v>正常</x:v>
      </x:c>
      <x:c r="O191" s="2" t="str">
        <x:v>PC-037</x:v>
      </x:c>
    </x:row>
    <x:row r="192" ht="36" customHeight="1">
      <x:c r="A192" s="10" t="d">
        <x:v>2026-09-26T00:00:00.000Z</x:v>
      </x:c>
      <x:c r="B192" s="2" t="str">
        <x:v>D03</x:v>
      </x:c>
      <x:c r="C192" s="2" t="str">
        <x:v>P011</x:v>
      </x:c>
      <x:c r="D192" s="2" t="str">
        <x:v>WO-0926-03-01</x:v>
      </x:c>
      <x:c r="E192" s="2" t="n">
        <x:v>360</x:v>
      </x:c>
      <x:c r="F192" s="11" t="n">
        <x:v>0.15</x:v>
      </x:c>
      <x:c r="G192" s="11" t="n">
        <x:f>IF(F192="","",E192*F192)</x:f>
        <x:v>54</x:v>
      </x:c>
      <x:c r="H192" s="12" t="n">
        <x:f>IF(OR(G192="",'线体日汇总'!H68="",'线体日汇总'!H68=0),"",G192/'线体日汇总'!H68)</x:f>
        <x:v>0.5510204081632653</x:v>
      </x:c>
      <x:c r="I192" s="11" t="n">
        <x:f>IF(OR(H192="",'线体日汇总'!G68=""),"",H192*'线体日汇总'!G68)</x:f>
        <x:v>43.199981632653056</x:v>
      </x:c>
      <x:c r="J192" s="12" t="n">
        <x:f>IF(OR(G192="",G192=0,I192=""),"",(I192-G192)/G192)</x:f>
        <x:v>-0.2000003401360545</x:v>
      </x:c>
      <x:c r="K192" s="2" t="n">
        <x:v>730</x:v>
      </x:c>
      <x:c r="L192" s="2" t="n">
        <x:v>9</x:v>
      </x:c>
      <x:c r="M192" s="12" t="n">
        <x:f>IF(OR(K192="",K192=0),"",L192/K192)</x:f>
        <x:v>0.012328767123287671</x:v>
      </x:c>
      <x:c r="N192" s="13" t="str">
        <x:v>排期偏差异常；加班占比异常</x:v>
      </x:c>
      <x:c r="O192" s="2" t="str">
        <x:v>PP-0926</x:v>
      </x:c>
    </x:row>
    <x:row r="193" ht="36" customHeight="1">
      <x:c r="A193" s="10" t="d">
        <x:v>2026-09-26T00:00:00.000Z</x:v>
      </x:c>
      <x:c r="B193" s="2" t="str">
        <x:v>D03</x:v>
      </x:c>
      <x:c r="C193" s="2" t="str">
        <x:v>P012</x:v>
      </x:c>
      <x:c r="D193" s="2" t="str">
        <x:v>WO-0926-03-02</x:v>
      </x:c>
      <x:c r="E193" s="2" t="n">
        <x:v>160</x:v>
      </x:c>
      <x:c r="F193" s="11" t="n">
        <x:v>0.2</x:v>
      </x:c>
      <x:c r="G193" s="11" t="n">
        <x:f>IF(F193="","",E193*F193)</x:f>
        <x:v>32</x:v>
      </x:c>
      <x:c r="H193" s="12" t="n">
        <x:f>IF(OR(G193="",'线体日汇总'!H68="",'线体日汇总'!H68=0),"",G193/'线体日汇总'!H68)</x:f>
        <x:v>0.32653061224489793</x:v>
      </x:c>
      <x:c r="I193" s="11" t="n">
        <x:f>IF(OR(H193="",'线体日汇总'!G68=""),"",H193*'线体日汇总'!G68)</x:f>
        <x:v>25.59998911564626</x:v>
      </x:c>
      <x:c r="J193" s="12" t="n">
        <x:f>IF(OR(G193="",G193=0,I193=""),"",(I193-G193)/G193)</x:f>
        <x:v>-0.2000003401360544</x:v>
      </x:c>
      <x:c r="K193" s="2" t="n">
        <x:v>820</x:v>
      </x:c>
      <x:c r="L193" s="2" t="n">
        <x:v>10</x:v>
      </x:c>
      <x:c r="M193" s="12" t="n">
        <x:f>IF(OR(K193="",K193=0),"",L193/K193)</x:f>
        <x:v>0.012195121951219513</x:v>
      </x:c>
      <x:c r="N193" s="13" t="str">
        <x:v>排期偏差异常；加班占比异常</x:v>
      </x:c>
      <x:c r="O193" s="2" t="str">
        <x:v>PP-0926</x:v>
      </x:c>
    </x:row>
    <x:row r="194" ht="36" customHeight="1">
      <x:c r="A194" s="10" t="d">
        <x:v>2026-09-26T00:00:00.000Z</x:v>
      </x:c>
      <x:c r="B194" s="2" t="str">
        <x:v>D03</x:v>
      </x:c>
      <x:c r="C194" s="2" t="str">
        <x:v>P013</x:v>
      </x:c>
      <x:c r="D194" s="2" t="str">
        <x:v>WO-0926-03-03</x:v>
      </x:c>
      <x:c r="E194" s="2" t="n">
        <x:v>200</x:v>
      </x:c>
      <x:c r="F194" s="11" t="n">
        <x:v>0.06</x:v>
      </x:c>
      <x:c r="G194" s="11" t="n">
        <x:f>IF(F194="","",E194*F194)</x:f>
        <x:v>12</x:v>
      </x:c>
      <x:c r="H194" s="12" t="n">
        <x:f>IF(OR(G194="",'线体日汇总'!H68="",'线体日汇总'!H68=0),"",G194/'线体日汇总'!H68)</x:f>
        <x:v>0.12244897959183673</x:v>
      </x:c>
      <x:c r="I194" s="11" t="n">
        <x:f>IF(OR(H194="",'线体日汇总'!G68=""),"",H194*'线体日汇总'!G68)</x:f>
        <x:v>9.599995918367346</x:v>
      </x:c>
      <x:c r="J194" s="12" t="n">
        <x:f>IF(OR(G194="",G194=0,I194=""),"",(I194-G194)/G194)</x:f>
        <x:v>-0.20000034013605447</x:v>
      </x:c>
      <x:c r="K194" s="2" t="n">
        <x:v>1480</x:v>
      </x:c>
      <x:c r="L194" s="2" t="n">
        <x:v>8</x:v>
      </x:c>
      <x:c r="M194" s="12" t="n">
        <x:f>IF(OR(K194="",K194=0),"",L194/K194)</x:f>
        <x:v>0.005405405405405406</x:v>
      </x:c>
      <x:c r="N194" s="13" t="str">
        <x:v>排期偏差异常；加班占比异常</x:v>
      </x:c>
      <x:c r="O194" s="2" t="str">
        <x:v>PP-0926</x:v>
      </x:c>
    </x:row>
    <x:row r="195" ht="36" customHeight="1">
      <x:c r="A195" s="10" t="d">
        <x:v>2026-09-26T00:00:00.000Z</x:v>
      </x:c>
      <x:c r="B195" s="2" t="str">
        <x:v>D04</x:v>
      </x:c>
      <x:c r="C195" s="2" t="str">
        <x:v>P013</x:v>
      </x:c>
      <x:c r="D195" s="2" t="str">
        <x:v>WO-0926-04-01</x:v>
      </x:c>
      <x:c r="E195" s="2" t="n">
        <x:v>200</x:v>
      </x:c>
      <x:c r="F195" s="11" t="n">
        <x:v>0.06</x:v>
      </x:c>
      <x:c r="G195" s="11" t="n">
        <x:f>IF(F195="","",E195*F195)</x:f>
        <x:v>12</x:v>
      </x:c>
      <x:c r="H195" s="12" t="n">
        <x:f>IF(OR(G195="",'线体日汇总'!H69="",'线体日汇总'!H69=0),"",G195/'线体日汇总'!H69)</x:f>
        <x:v>0.27777777777777773</x:v>
      </x:c>
      <x:c r="I195" s="11" t="n">
        <x:f>IF(OR(H195="",'线体日汇总'!G69=""),"",H195*'线体日汇总'!G69)</x:f>
        <x:v>16.199990740740738</x:v>
      </x:c>
      <x:c r="J195" s="12" t="n">
        <x:f>IF(OR(G195="",G195=0,I195=""),"",(I195-G195)/G195)</x:f>
        <x:v>0.3499992283950615</x:v>
      </x:c>
      <x:c r="K195" s="2" t="n">
        <x:v>1070</x:v>
      </x:c>
      <x:c r="L195" s="2" t="n">
        <x:v>10</x:v>
      </x:c>
      <x:c r="M195" s="12" t="n">
        <x:f>IF(OR(K195="",K195=0),"",L195/K195)</x:f>
        <x:v>0.009345794392523364</x:v>
      </x:c>
      <x:c r="N195" s="13" t="str">
        <x:v>排期偏差异常</x:v>
      </x:c>
      <x:c r="O195" s="2" t="str">
        <x:v>PP-0926</x:v>
      </x:c>
    </x:row>
    <x:row r="196" ht="36" customHeight="1">
      <x:c r="A196" s="10" t="d">
        <x:v>2026-09-26T00:00:00.000Z</x:v>
      </x:c>
      <x:c r="B196" s="2" t="str">
        <x:v>D04</x:v>
      </x:c>
      <x:c r="C196" s="2" t="str">
        <x:v>P014</x:v>
      </x:c>
      <x:c r="D196" s="2" t="str">
        <x:v>WO-0926-04-02</x:v>
      </x:c>
      <x:c r="E196" s="2" t="n">
        <x:v>120</x:v>
      </x:c>
      <x:c r="F196" s="11" t="n">
        <x:v>0.060000000000000005</x:v>
      </x:c>
      <x:c r="G196" s="11" t="n">
        <x:f>IF(F196="","",E196*F196)</x:f>
        <x:v>7.2</x:v>
      </x:c>
      <x:c r="H196" s="12" t="n">
        <x:f>IF(OR(G196="",'线体日汇总'!H69="",'线体日汇总'!H69=0),"",G196/'线体日汇总'!H69)</x:f>
        <x:v>0.16666666666666666</x:v>
      </x:c>
      <x:c r="I196" s="11" t="n">
        <x:f>IF(OR(H196="",'线体日汇总'!G69=""),"",H196*'线体日汇总'!G69)</x:f>
        <x:v>9.719994444444444</x:v>
      </x:c>
      <x:c r="J196" s="12" t="n">
        <x:f>IF(OR(G196="",G196=0,I196=""),"",(I196-G196)/G196)</x:f>
        <x:v>0.3499992283950616</x:v>
      </x:c>
      <x:c r="K196" s="2" t="n">
        <x:v>950</x:v>
      </x:c>
      <x:c r="L196" s="2" t="n">
        <x:v>4</x:v>
      </x:c>
      <x:c r="M196" s="12" t="n">
        <x:f>IF(OR(K196="",K196=0),"",L196/K196)</x:f>
        <x:v>0.004210526315789474</x:v>
      </x:c>
      <x:c r="N196" s="13" t="str">
        <x:v>排期偏差异常</x:v>
      </x:c>
      <x:c r="O196" s="2" t="str">
        <x:v>PP-0926</x:v>
      </x:c>
    </x:row>
    <x:row r="197" ht="36" customHeight="1">
      <x:c r="A197" s="10" t="d">
        <x:v>2026-09-26T00:00:00.000Z</x:v>
      </x:c>
      <x:c r="B197" s="2" t="str">
        <x:v>D04</x:v>
      </x:c>
      <x:c r="C197" s="2" t="str">
        <x:v>P015</x:v>
      </x:c>
      <x:c r="D197" s="2" t="str">
        <x:v>WO-0926-04-03</x:v>
      </x:c>
      <x:c r="E197" s="2" t="n">
        <x:v>240</x:v>
      </x:c>
      <x:c r="F197" s="11" t="n">
        <x:v>0.1</x:v>
      </x:c>
      <x:c r="G197" s="11" t="n">
        <x:f>IF(F197="","",E197*F197)</x:f>
        <x:v>24</x:v>
      </x:c>
      <x:c r="H197" s="12" t="n">
        <x:f>IF(OR(G197="",'线体日汇总'!H69="",'线体日汇总'!H69=0),"",G197/'线体日汇总'!H69)</x:f>
        <x:v>0.5555555555555555</x:v>
      </x:c>
      <x:c r="I197" s="11" t="n">
        <x:f>IF(OR(H197="",'线体日汇总'!G69=""),"",H197*'线体日汇总'!G69)</x:f>
        <x:v>32.399981481481475</x:v>
      </x:c>
      <x:c r="J197" s="12" t="n">
        <x:f>IF(OR(G197="",G197=0,I197=""),"",(I197-G197)/G197)</x:f>
        <x:v>0.3499992283950615</x:v>
      </x:c>
      <x:c r="K197" s="2" t="n">
        <x:v>850</x:v>
      </x:c>
      <x:c r="L197" s="2" t="n">
        <x:v>8</x:v>
      </x:c>
      <x:c r="M197" s="12" t="n">
        <x:f>IF(OR(K197="",K197=0),"",L197/K197)</x:f>
        <x:v>0.009411764705882352</x:v>
      </x:c>
      <x:c r="N197" s="13" t="str">
        <x:v>排期偏差异常</x:v>
      </x:c>
      <x:c r="O197" s="2" t="str">
        <x:v>PP-0926</x:v>
      </x:c>
    </x:row>
    <x:row r="198" ht="36" customHeight="1">
      <x:c r="A198" s="10" t="d">
        <x:v>2026-09-26T00:00:00.000Z</x:v>
      </x:c>
      <x:c r="B198" s="2" t="str">
        <x:v>D05</x:v>
      </x:c>
      <x:c r="C198" s="2" t="str">
        <x:v>P015</x:v>
      </x:c>
      <x:c r="D198" s="2" t="str">
        <x:v>WO-0926-05-01</x:v>
      </x:c>
      <x:c r="E198" s="2" t="n">
        <x:v>240</x:v>
      </x:c>
      <x:c r="F198" s="11" t="n">
        <x:v>0.1</x:v>
      </x:c>
      <x:c r="G198" s="11" t="n">
        <x:f>IF(F198="","",E198*F198)</x:f>
        <x:v>24</x:v>
      </x:c>
      <x:c r="H198" s="12" t="n">
        <x:f>IF(OR(G198="",'线体日汇总'!H70="",'线体日汇总'!H70=0),"",G198/'线体日汇总'!H70)</x:f>
        <x:v>0.23529411764705882</x:v>
      </x:c>
      <x:c r="I198" s="11" t="n">
        <x:f>IF(OR(H198="",'线体日汇总'!G70=""),"",H198*'线体日汇总'!G70)</x:f>
        <x:v>16.79999215686275</x:v>
      </x:c>
      <x:c r="J198" s="12" t="n">
        <x:f>IF(OR(G198="",G198=0,I198=""),"",(I198-G198)/G198)</x:f>
        <x:v>-0.3000003267973854</x:v>
      </x:c>
      <x:c r="K198" s="2" t="n">
        <x:v>990</x:v>
      </x:c>
      <x:c r="L198" s="2" t="n">
        <x:v>27</x:v>
      </x:c>
      <x:c r="M198" s="12" t="n">
        <x:f>IF(OR(K198="",K198=0),"",L198/K198)</x:f>
        <x:v>0.02727272727272727</x:v>
      </x:c>
      <x:c r="N198" s="13" t="str">
        <x:v>排期偏差异常</x:v>
      </x:c>
      <x:c r="O198" s="2" t="str">
        <x:v>PP-0926</x:v>
      </x:c>
    </x:row>
    <x:row r="199" ht="36" customHeight="1">
      <x:c r="A199" s="10" t="d">
        <x:v>2026-09-26T00:00:00.000Z</x:v>
      </x:c>
      <x:c r="B199" s="2" t="str">
        <x:v>D05</x:v>
      </x:c>
      <x:c r="C199" s="2" t="str">
        <x:v>P016</x:v>
      </x:c>
      <x:c r="D199" s="2" t="str">
        <x:v>WO-0926-05-02</x:v>
      </x:c>
      <x:c r="E199" s="2" t="n">
        <x:v>200</x:v>
      </x:c>
      <x:c r="F199" s="11" t="n">
        <x:v>0.11999999999999998</x:v>
      </x:c>
      <x:c r="G199" s="11" t="n">
        <x:f>IF(F199="","",E199*F199)</x:f>
        <x:v>23.999999999999996</x:v>
      </x:c>
      <x:c r="H199" s="12" t="n">
        <x:f>IF(OR(G199="",'线体日汇总'!H70="",'线体日汇总'!H70=0),"",G199/'线体日汇总'!H70)</x:f>
        <x:v>0.2352941176470588</x:v>
      </x:c>
      <x:c r="I199" s="11" t="n">
        <x:f>IF(OR(H199="",'线体日汇总'!G70=""),"",H199*'线体日汇总'!G70)</x:f>
        <x:v>16.799992156862746</x:v>
      </x:c>
      <x:c r="J199" s="12" t="n">
        <x:f>IF(OR(G199="",G199=0,I199=""),"",(I199-G199)/G199)</x:f>
        <x:v>-0.3000003267973855</x:v>
      </x:c>
      <x:c r="K199" s="2" t="n">
        <x:v>1250</x:v>
      </x:c>
      <x:c r="L199" s="2" t="n">
        <x:v>6</x:v>
      </x:c>
      <x:c r="M199" s="12" t="n">
        <x:f>IF(OR(K199="",K199=0),"",L199/K199)</x:f>
        <x:v>0.0048</x:v>
      </x:c>
      <x:c r="N199" s="13" t="str">
        <x:v>排期偏差异常</x:v>
      </x:c>
      <x:c r="O199" s="2" t="str">
        <x:v>PP-0926</x:v>
      </x:c>
    </x:row>
    <x:row r="200" ht="36" customHeight="1">
      <x:c r="A200" s="10" t="d">
        <x:v>2026-09-26T00:00:00.000Z</x:v>
      </x:c>
      <x:c r="B200" s="2" t="str">
        <x:v>D05</x:v>
      </x:c>
      <x:c r="C200" s="2" t="str">
        <x:v>P017</x:v>
      </x:c>
      <x:c r="D200" s="2" t="str">
        <x:v>WO-0926-05-03</x:v>
      </x:c>
      <x:c r="E200" s="2" t="n">
        <x:v>360</x:v>
      </x:c>
      <x:c r="F200" s="11" t="n">
        <x:v>0.15</x:v>
      </x:c>
      <x:c r="G200" s="11" t="n">
        <x:f>IF(F200="","",E200*F200)</x:f>
        <x:v>54</x:v>
      </x:c>
      <x:c r="H200" s="12" t="n">
        <x:f>IF(OR(G200="",'线体日汇总'!H70="",'线体日汇总'!H70=0),"",G200/'线体日汇总'!H70)</x:f>
        <x:v>0.5294117647058824</x:v>
      </x:c>
      <x:c r="I200" s="11" t="n">
        <x:f>IF(OR(H200="",'线体日汇总'!G70=""),"",H200*'线体日汇总'!G70)</x:f>
        <x:v>37.799982352941186</x:v>
      </x:c>
      <x:c r="J200" s="12" t="n">
        <x:f>IF(OR(G200="",G200=0,I200=""),"",(I200-G200)/G200)</x:f>
        <x:v>-0.3000003267973855</x:v>
      </x:c>
      <x:c r="K200" s="2" t="n">
        <x:v>700</x:v>
      </x:c>
      <x:c r="L200" s="2" t="n">
        <x:v>8</x:v>
      </x:c>
      <x:c r="M200" s="12" t="n">
        <x:f>IF(OR(K200="",K200=0),"",L200/K200)</x:f>
        <x:v>0.011428571428571429</x:v>
      </x:c>
      <x:c r="N200" s="13" t="str">
        <x:v>排期偏差异常</x:v>
      </x:c>
      <x:c r="O200" s="2" t="str">
        <x:v>PP-0926</x:v>
      </x:c>
    </x:row>
    <x:row r="201" ht="36" customHeight="1">
      <x:c r="A201" s="10" t="d">
        <x:v>2026-09-26T00:00:00.000Z</x:v>
      </x:c>
      <x:c r="B201" s="2" t="str">
        <x:v>D06</x:v>
      </x:c>
      <x:c r="C201" s="2" t="str">
        <x:v>P017</x:v>
      </x:c>
      <x:c r="D201" s="2" t="str">
        <x:v>WO-0926-06-01</x:v>
      </x:c>
      <x:c r="E201" s="2" t="n">
        <x:v>240</x:v>
      </x:c>
      <x:c r="F201" s="11" t="n">
        <x:v>0.15</x:v>
      </x:c>
      <x:c r="G201" s="11" t="n">
        <x:f>IF(F201="","",E201*F201)</x:f>
        <x:v>36</x:v>
      </x:c>
      <x:c r="H201" s="12" t="n">
        <x:f>IF(OR(G201="",'线体日汇总'!H71="",'线体日汇总'!H71=0),"",G201/'线体日汇总'!H71)</x:f>
        <x:v>0.3</x:v>
      </x:c>
      <x:c r="I201" s="11" t="n">
        <x:f>IF(OR(H201="",'线体日汇总'!G71=""),"",H201*'线体日汇总'!G71)</x:f>
        <x:v>34.19999</x:v>
      </x:c>
      <x:c r="J201" s="12" t="n">
        <x:f>IF(OR(G201="",G201=0,I201=""),"",(I201-G201)/G201)</x:f>
        <x:v>-0.05000027777777779</x:v>
      </x:c>
      <x:c r="K201" s="2" t="n">
        <x:v>940</x:v>
      </x:c>
      <x:c r="L201" s="2" t="n">
        <x:v>11</x:v>
      </x:c>
      <x:c r="M201" s="12" t="n">
        <x:f>IF(OR(K201="",K201=0),"",L201/K201)</x:f>
        <x:v>0.011702127659574468</x:v>
      </x:c>
      <x:c r="N201" s="13" t="str">
        <x:v>加班占比异常</x:v>
      </x:c>
      <x:c r="O201" s="2" t="str">
        <x:v>PP-0926</x:v>
      </x:c>
    </x:row>
    <x:row r="202" ht="36" customHeight="1">
      <x:c r="A202" s="10" t="d">
        <x:v>2026-09-26T00:00:00.000Z</x:v>
      </x:c>
      <x:c r="B202" s="2" t="str">
        <x:v>D06</x:v>
      </x:c>
      <x:c r="C202" s="2" t="str">
        <x:v>P018</x:v>
      </x:c>
      <x:c r="D202" s="2" t="str">
        <x:v>WO-0926-06-02</x:v>
      </x:c>
      <x:c r="E202" s="2" t="n">
        <x:v>360</x:v>
      </x:c>
      <x:c r="F202" s="11" t="n">
        <x:v>0.2</x:v>
      </x:c>
      <x:c r="G202" s="11" t="n">
        <x:f>IF(F202="","",E202*F202)</x:f>
        <x:v>72</x:v>
      </x:c>
      <x:c r="H202" s="12" t="n">
        <x:f>IF(OR(G202="",'线体日汇总'!H71="",'线体日汇总'!H71=0),"",G202/'线体日汇总'!H71)</x:f>
        <x:v>0.6</x:v>
      </x:c>
      <x:c r="I202" s="11" t="n">
        <x:f>IF(OR(H202="",'线体日汇总'!G71=""),"",H202*'线体日汇总'!G71)</x:f>
        <x:v>68.39998</x:v>
      </x:c>
      <x:c r="J202" s="12" t="n">
        <x:f>IF(OR(G202="",G202=0,I202=""),"",(I202-G202)/G202)</x:f>
        <x:v>-0.05000027777777779</x:v>
      </x:c>
      <x:c r="K202" s="2" t="n">
        <x:v>1340</x:v>
      </x:c>
      <x:c r="L202" s="2" t="n">
        <x:v>11</x:v>
      </x:c>
      <x:c r="M202" s="12" t="n">
        <x:f>IF(OR(K202="",K202=0),"",L202/K202)</x:f>
        <x:v>0.008208955223880597</x:v>
      </x:c>
      <x:c r="N202" s="13" t="str">
        <x:v>加班占比异常</x:v>
      </x:c>
      <x:c r="O202" s="2" t="str">
        <x:v>PP-0926</x:v>
      </x:c>
    </x:row>
    <x:row r="203" ht="36" customHeight="1">
      <x:c r="A203" s="10" t="d">
        <x:v>2026-09-26T00:00:00.000Z</x:v>
      </x:c>
      <x:c r="B203" s="2" t="str">
        <x:v>D06</x:v>
      </x:c>
      <x:c r="C203" s="2" t="str">
        <x:v>P019</x:v>
      </x:c>
      <x:c r="D203" s="2" t="str">
        <x:v>WO-0926-06-03</x:v>
      </x:c>
      <x:c r="E203" s="2" t="n">
        <x:v>200</x:v>
      </x:c>
      <x:c r="F203" s="11" t="n">
        <x:v>0.06</x:v>
      </x:c>
      <x:c r="G203" s="11" t="n">
        <x:f>IF(F203="","",E203*F203)</x:f>
        <x:v>12</x:v>
      </x:c>
      <x:c r="H203" s="12" t="n">
        <x:f>IF(OR(G203="",'线体日汇总'!H71="",'线体日汇总'!H71=0),"",G203/'线体日汇总'!H71)</x:f>
        <x:v>0.1</x:v>
      </x:c>
      <x:c r="I203" s="11" t="n">
        <x:f>IF(OR(H203="",'线体日汇总'!G71=""),"",H203*'线体日汇总'!G71)</x:f>
        <x:v>11.399996666666668</x:v>
      </x:c>
      <x:c r="J203" s="12" t="n">
        <x:f>IF(OR(G203="",G203=0,I203=""),"",(I203-G203)/G203)</x:f>
        <x:v>-0.05000027777777764</x:v>
      </x:c>
      <x:c r="K203" s="2" t="n">
        <x:v>1480</x:v>
      </x:c>
      <x:c r="L203" s="2" t="n">
        <x:v>4</x:v>
      </x:c>
      <x:c r="M203" s="12" t="n">
        <x:f>IF(OR(K203="",K203=0),"",L203/K203)</x:f>
        <x:v>0.002702702702702703</x:v>
      </x:c>
      <x:c r="N203" s="13" t="str">
        <x:v>加班占比异常</x:v>
      </x:c>
      <x:c r="O203" s="2" t="str">
        <x:v>PP-0926</x:v>
      </x:c>
    </x:row>
    <x:row r="204" ht="36" customHeight="1">
      <x:c r="A204" s="10" t="d">
        <x:v>2026-09-26T00:00:00.000Z</x:v>
      </x:c>
      <x:c r="B204" s="2" t="str">
        <x:v>D07</x:v>
      </x:c>
      <x:c r="C204" s="2" t="str">
        <x:v>PX99</x:v>
      </x:c>
      <x:c r="D204" s="2" t="str">
        <x:v>WO-0926-07-01</x:v>
      </x:c>
      <x:c r="E204" s="2" t="n">
        <x:v>400</x:v>
      </x:c>
      <x:c r="F204" s="11"/>
      <x:c r="G204" s="11" t="str">
        <x:f>IF(F204="","",E204*F204)</x:f>
      </x:c>
      <x:c r="H204" s="12" t="str">
        <x:f>IF(OR(G204="",'线体日汇总'!H72="",'线体日汇总'!H72=0),"",G204/'线体日汇总'!H72)</x:f>
      </x:c>
      <x:c r="I204" s="11" t="str">
        <x:f>IF(OR(H204="",'线体日汇总'!G72=""),"",H204*'线体日汇总'!G72)</x:f>
      </x:c>
      <x:c r="J204" s="12" t="str">
        <x:f>IF(OR(G204="",G204=0,I204=""),"",(I204-G204)/G204)</x:f>
      </x:c>
      <x:c r="K204" s="2" t="n">
        <x:v>870</x:v>
      </x:c>
      <x:c r="L204" s="2" t="n">
        <x:v>10</x:v>
      </x:c>
      <x:c r="M204" s="12" t="n">
        <x:f>IF(OR(K204="",K204=0),"",L204/K204)</x:f>
        <x:v>0.011494252873563218</x:v>
      </x:c>
      <x:c r="N204" s="13" t="str">
        <x:v>标准工时缺失</x:v>
      </x:c>
      <x:c r="O204" s="2" t="str">
        <x:v>PC-039</x:v>
      </x:c>
    </x:row>
    <x:row r="205" ht="36" customHeight="1">
      <x:c r="A205" s="10" t="d">
        <x:v>2026-09-26T00:00:00.000Z</x:v>
      </x:c>
      <x:c r="B205" s="2" t="str">
        <x:v>D07</x:v>
      </x:c>
      <x:c r="C205" s="2" t="str">
        <x:v>P020</x:v>
      </x:c>
      <x:c r="D205" s="2" t="str">
        <x:v>WO-0926-07-02R</x:v>
      </x:c>
      <x:c r="E205" s="2" t="n">
        <x:v>280</x:v>
      </x:c>
      <x:c r="F205" s="11" t="n">
        <x:v>0.08</x:v>
      </x:c>
      <x:c r="G205" s="11" t="n">
        <x:f>IF(F205="","",E205*F205)</x:f>
        <x:v>22.400000000000002</x:v>
      </x:c>
      <x:c r="H205" s="12" t="str">
        <x:f>IF(OR(G205="",'线体日汇总'!H72="",'线体日汇总'!H72=0),"",G205/'线体日汇总'!H72)</x:f>
      </x:c>
      <x:c r="I205" s="11" t="str">
        <x:f>IF(OR(H205="",'线体日汇总'!G72=""),"",H205*'线体日汇总'!G72)</x:f>
      </x:c>
      <x:c r="J205" s="12" t="str">
        <x:f>IF(OR(G205="",G205=0,I205=""),"",(I205-G205)/G205)</x:f>
      </x:c>
      <x:c r="K205" s="2" t="n">
        <x:v>1360</x:v>
      </x:c>
      <x:c r="L205" s="2" t="n">
        <x:v>8</x:v>
      </x:c>
      <x:c r="M205" s="12" t="n">
        <x:f>IF(OR(K205="",K205=0),"",L205/K205)</x:f>
        <x:v>0.0058823529411764705</x:v>
      </x:c>
      <x:c r="N205" s="13" t="str">
        <x:v>标准工时缺失</x:v>
      </x:c>
      <x:c r="O205" s="2" t="str">
        <x:v>PC-042</x:v>
      </x:c>
    </x:row>
    <x:row r="206" ht="36" customHeight="1">
      <x:c r="A206" s="10" t="d">
        <x:v>2026-09-26T00:00:00.000Z</x:v>
      </x:c>
      <x:c r="B206" s="2" t="str">
        <x:v>D07</x:v>
      </x:c>
      <x:c r="C206" s="2" t="str">
        <x:v>P021</x:v>
      </x:c>
      <x:c r="D206" s="2" t="str">
        <x:v>WO-0926-07-03</x:v>
      </x:c>
      <x:c r="E206" s="2" t="n">
        <x:v>340</x:v>
      </x:c>
      <x:c r="F206" s="11" t="n">
        <x:v>0.075</x:v>
      </x:c>
      <x:c r="G206" s="11" t="n">
        <x:f>IF(F206="","",E206*F206)</x:f>
        <x:v>25.5</x:v>
      </x:c>
      <x:c r="H206" s="12" t="str">
        <x:f>IF(OR(G206="",'线体日汇总'!H72="",'线体日汇总'!H72=0),"",G206/'线体日汇总'!H72)</x:f>
      </x:c>
      <x:c r="I206" s="11" t="str">
        <x:f>IF(OR(H206="",'线体日汇总'!G72=""),"",H206*'线体日汇总'!G72)</x:f>
      </x:c>
      <x:c r="J206" s="12" t="str">
        <x:f>IF(OR(G206="",G206=0,I206=""),"",(I206-G206)/G206)</x:f>
      </x:c>
      <x:c r="K206" s="2" t="n">
        <x:v>1230</x:v>
      </x:c>
      <x:c r="L206" s="2" t="n">
        <x:v>15</x:v>
      </x:c>
      <x:c r="M206" s="12" t="n">
        <x:f>IF(OR(K206="",K206=0),"",L206/K206)</x:f>
        <x:v>0.012195121951219513</x:v>
      </x:c>
      <x:c r="N206" s="13" t="str">
        <x:v>标准工时缺失</x:v>
      </x:c>
      <x:c r="O206" s="2" t="str">
        <x:v>PP-0926</x:v>
      </x:c>
    </x:row>
    <x:row r="207" ht="36" customHeight="1">
      <x:c r="A207" s="10" t="d">
        <x:v>2026-09-26T00:00:00.000Z</x:v>
      </x:c>
      <x:c r="B207" s="2" t="str">
        <x:v>D08</x:v>
      </x:c>
      <x:c r="C207" s="2" t="str">
        <x:v>P021</x:v>
      </x:c>
      <x:c r="D207" s="2" t="str">
        <x:v>WO-0926-08-01</x:v>
      </x:c>
      <x:c r="E207" s="2" t="n">
        <x:v>280</x:v>
      </x:c>
      <x:c r="F207" s="11" t="n">
        <x:v>0.075</x:v>
      </x:c>
      <x:c r="G207" s="11" t="n">
        <x:f>IF(F207="","",E207*F207)</x:f>
        <x:v>21</x:v>
      </x:c>
      <x:c r="H207" s="12" t="n">
        <x:f>IF(OR(G207="",'线体日汇总'!H73="",'线体日汇总'!H73=0),"",G207/'线体日汇总'!H73)</x:f>
        <x:v>0.23809523809523814</x:v>
      </x:c>
      <x:c r="I207" s="11" t="n">
        <x:f>IF(OR(H207="",'线体日汇总'!G73=""),"",H207*'线体日汇总'!G73)</x:f>
        <x:v>24.15000793650794</x:v>
      </x:c>
      <x:c r="J207" s="12" t="n">
        <x:f>IF(OR(G207="",G207=0,I207=""),"",(I207-G207)/G207)</x:f>
        <x:v>0.15000037792894952</x:v>
      </x:c>
      <x:c r="K207" s="2" t="n">
        <x:v>1040</x:v>
      </x:c>
      <x:c r="L207" s="2" t="n">
        <x:v>15</x:v>
      </x:c>
      <x:c r="M207" s="12" t="n">
        <x:f>IF(OR(K207="",K207=0),"",L207/K207)</x:f>
        <x:v>0.014423076923076924</x:v>
      </x:c>
      <x:c r="N207" s="13" t="str">
        <x:v>正常</x:v>
      </x:c>
      <x:c r="O207" s="2" t="str">
        <x:v>PP-0926</x:v>
      </x:c>
    </x:row>
    <x:row r="208" ht="36" customHeight="1">
      <x:c r="A208" s="10" t="d">
        <x:v>2026-09-26T00:00:00.000Z</x:v>
      </x:c>
      <x:c r="B208" s="2" t="str">
        <x:v>D08</x:v>
      </x:c>
      <x:c r="C208" s="2" t="str">
        <x:v>P022</x:v>
      </x:c>
      <x:c r="D208" s="2" t="str">
        <x:v>WO-0926-08-02</x:v>
      </x:c>
      <x:c r="E208" s="2" t="n">
        <x:v>360</x:v>
      </x:c>
      <x:c r="F208" s="11" t="n">
        <x:v>0.11999999999999998</x:v>
      </x:c>
      <x:c r="G208" s="11" t="n">
        <x:f>IF(F208="","",E208*F208)</x:f>
        <x:v>43.199999999999996</x:v>
      </x:c>
      <x:c r="H208" s="12" t="n">
        <x:f>IF(OR(G208="",'线体日汇总'!H73="",'线体日汇总'!H73=0),"",G208/'线体日汇总'!H73)</x:f>
        <x:v>0.4897959183673469</x:v>
      </x:c>
      <x:c r="I208" s="11" t="n">
        <x:f>IF(OR(H208="",'线体日汇总'!G73=""),"",H208*'线体日汇总'!G73)</x:f>
        <x:v>49.680016326530605</x:v>
      </x:c>
      <x:c r="J208" s="12" t="n">
        <x:f>IF(OR(G208="",G208=0,I208=""),"",(I208-G208)/G208)</x:f>
        <x:v>0.15000037792894932</x:v>
      </x:c>
      <x:c r="K208" s="2" t="n">
        <x:v>1370</x:v>
      </x:c>
      <x:c r="L208" s="2" t="n">
        <x:v>2</x:v>
      </x:c>
      <x:c r="M208" s="12" t="n">
        <x:f>IF(OR(K208="",K208=0),"",L208/K208)</x:f>
        <x:v>0.00145985401459854</x:v>
      </x:c>
      <x:c r="N208" s="13" t="str">
        <x:v>正常</x:v>
      </x:c>
      <x:c r="O208" s="2" t="str">
        <x:v>PP-0926</x:v>
      </x:c>
    </x:row>
    <x:row r="209" ht="36" customHeight="1">
      <x:c r="A209" s="10" t="d">
        <x:v>2026-09-26T00:00:00.000Z</x:v>
      </x:c>
      <x:c r="B209" s="2" t="str">
        <x:v>D08</x:v>
      </x:c>
      <x:c r="C209" s="2" t="str">
        <x:v>P023</x:v>
      </x:c>
      <x:c r="D209" s="2" t="str">
        <x:v>WO-0926-08-03</x:v>
      </x:c>
      <x:c r="E209" s="2" t="n">
        <x:v>160</x:v>
      </x:c>
      <x:c r="F209" s="11" t="n">
        <x:v>0.15</x:v>
      </x:c>
      <x:c r="G209" s="11" t="n">
        <x:f>IF(F209="","",E209*F209)</x:f>
        <x:v>24</x:v>
      </x:c>
      <x:c r="H209" s="12" t="n">
        <x:f>IF(OR(G209="",'线体日汇总'!H73="",'线体日汇总'!H73=0),"",G209/'线体日汇总'!H73)</x:f>
        <x:v>0.272108843537415</x:v>
      </x:c>
      <x:c r="I209" s="11" t="n">
        <x:f>IF(OR(H209="",'线体日汇总'!G73=""),"",H209*'线体日汇总'!G73)</x:f>
        <x:v>27.600009070294785</x:v>
      </x:c>
      <x:c r="J209" s="12" t="n">
        <x:f>IF(OR(G209="",G209=0,I209=""),"",(I209-G209)/G209)</x:f>
        <x:v>0.15000037792894938</x:v>
      </x:c>
      <x:c r="K209" s="2" t="n">
        <x:v>1200</x:v>
      </x:c>
      <x:c r="L209" s="2" t="n">
        <x:v>8</x:v>
      </x:c>
      <x:c r="M209" s="12" t="n">
        <x:f>IF(OR(K209="",K209=0),"",L209/K209)</x:f>
        <x:v>0.006666666666666667</x:v>
      </x:c>
      <x:c r="N209" s="13" t="str">
        <x:v>正常</x:v>
      </x:c>
      <x:c r="O209" s="2" t="str">
        <x:v>PP-0926</x:v>
      </x:c>
    </x:row>
    <x:row r="210" ht="36" customHeight="1">
      <x:c r="A210" s="10" t="d">
        <x:v>2026-09-26T00:00:00.000Z</x:v>
      </x:c>
      <x:c r="B210" s="2" t="str">
        <x:v>D09</x:v>
      </x:c>
      <x:c r="C210" s="2" t="str">
        <x:v>P023</x:v>
      </x:c>
      <x:c r="D210" s="2" t="str">
        <x:v>WO-0926-09-01</x:v>
      </x:c>
      <x:c r="E210" s="2" t="n">
        <x:v>160</x:v>
      </x:c>
      <x:c r="F210" s="11" t="n">
        <x:v>0.15</x:v>
      </x:c>
      <x:c r="G210" s="11" t="n">
        <x:f>IF(F210="","",E210*F210)</x:f>
        <x:v>24</x:v>
      </x:c>
      <x:c r="H210" s="12" t="n">
        <x:f>IF(OR(G210="",'线体日汇总'!H74="",'线体日汇总'!H74=0),"",G210/'线体日汇总'!H74)</x:f>
        <x:v>0.24193548387096772</x:v>
      </x:c>
      <x:c r="I210" s="11" t="n">
        <x:f>IF(OR(H210="",'线体日汇总'!G74=""),"",H210*'线体日汇总'!G74)</x:f>
        <x:v>28.800008064516128</x:v>
      </x:c>
      <x:c r="J210" s="12" t="n">
        <x:f>IF(OR(G210="",G210=0,I210=""),"",(I210-G210)/G210)</x:f>
        <x:v>0.20000033602150533</x:v>
      </x:c>
      <x:c r="K210" s="2" t="n">
        <x:v>1380</x:v>
      </x:c>
      <x:c r="L210" s="2" t="n">
        <x:v>10</x:v>
      </x:c>
      <x:c r="M210" s="12" t="n">
        <x:f>IF(OR(K210="",K210=0),"",L210/K210)</x:f>
        <x:v>0.007246376811594203</x:v>
      </x:c>
      <x:c r="N210" s="13" t="str">
        <x:v>排期偏差异常；加班占比异常</x:v>
      </x:c>
      <x:c r="O210" s="2" t="str">
        <x:v>PP-0926</x:v>
      </x:c>
    </x:row>
    <x:row r="211" ht="36" customHeight="1">
      <x:c r="A211" s="10" t="d">
        <x:v>2026-09-26T00:00:00.000Z</x:v>
      </x:c>
      <x:c r="B211" s="2" t="str">
        <x:v>D09</x:v>
      </x:c>
      <x:c r="C211" s="2" t="str">
        <x:v>P024</x:v>
      </x:c>
      <x:c r="D211" s="2" t="str">
        <x:v>WO-0926-09-02</x:v>
      </x:c>
      <x:c r="E211" s="2" t="n">
        <x:v>340</x:v>
      </x:c>
      <x:c r="F211" s="11" t="n">
        <x:v>0.2</x:v>
      </x:c>
      <x:c r="G211" s="11" t="n">
        <x:f>IF(F211="","",E211*F211)</x:f>
        <x:v>68</x:v>
      </x:c>
      <x:c r="H211" s="12" t="n">
        <x:f>IF(OR(G211="",'线体日汇总'!H74="",'线体日汇总'!H74=0),"",G211/'线体日汇总'!H74)</x:f>
        <x:v>0.6854838709677419</x:v>
      </x:c>
      <x:c r="I211" s="11" t="n">
        <x:f>IF(OR(H211="",'线体日汇总'!G74=""),"",H211*'线体日汇总'!G74)</x:f>
        <x:v>81.60002284946236</x:v>
      </x:c>
      <x:c r="J211" s="12" t="n">
        <x:f>IF(OR(G211="",G211=0,I211=""),"",(I211-G211)/G211)</x:f>
        <x:v>0.20000033602150533</x:v>
      </x:c>
      <x:c r="K211" s="2" t="n">
        <x:v>800</x:v>
      </x:c>
      <x:c r="L211" s="2" t="n">
        <x:v>9</x:v>
      </x:c>
      <x:c r="M211" s="12" t="n">
        <x:f>IF(OR(K211="",K211=0),"",L211/K211)</x:f>
        <x:v>0.01125</x:v>
      </x:c>
      <x:c r="N211" s="13" t="str">
        <x:v>排期偏差异常；加班占比异常</x:v>
      </x:c>
      <x:c r="O211" s="2" t="str">
        <x:v>PP-0926</x:v>
      </x:c>
    </x:row>
    <x:row r="212" ht="36" customHeight="1">
      <x:c r="A212" s="10" t="d">
        <x:v>2026-09-26T00:00:00.000Z</x:v>
      </x:c>
      <x:c r="B212" s="2" t="str">
        <x:v>D09</x:v>
      </x:c>
      <x:c r="C212" s="2" t="str">
        <x:v>P025</x:v>
      </x:c>
      <x:c r="D212" s="2" t="str">
        <x:v>WO-0926-09-03</x:v>
      </x:c>
      <x:c r="E212" s="2" t="n">
        <x:v>120</x:v>
      </x:c>
      <x:c r="F212" s="11" t="n">
        <x:v>0.06</x:v>
      </x:c>
      <x:c r="G212" s="11" t="n">
        <x:f>IF(F212="","",E212*F212)</x:f>
        <x:v>7.199999999999999</x:v>
      </x:c>
      <x:c r="H212" s="12" t="n">
        <x:f>IF(OR(G212="",'线体日汇总'!H74="",'线体日汇总'!H74=0),"",G212/'线体日汇总'!H74)</x:f>
        <x:v>0.07258064516129031</x:v>
      </x:c>
      <x:c r="I212" s="11" t="n">
        <x:f>IF(OR(H212="",'线体日汇总'!G74=""),"",H212*'线体日汇总'!G74)</x:f>
        <x:v>8.640002419354838</x:v>
      </x:c>
      <x:c r="J212" s="12" t="n">
        <x:f>IF(OR(G212="",G212=0,I212=""),"",(I212-G212)/G212)</x:f>
        <x:v>0.20000033602150538</x:v>
      </x:c>
      <x:c r="K212" s="2" t="n">
        <x:v>1290</x:v>
      </x:c>
      <x:c r="L212" s="2" t="n">
        <x:v>12</x:v>
      </x:c>
      <x:c r="M212" s="12" t="n">
        <x:f>IF(OR(K212="",K212=0),"",L212/K212)</x:f>
        <x:v>0.009302325581395349</x:v>
      </x:c>
      <x:c r="N212" s="13" t="str">
        <x:v>排期偏差异常；加班占比异常</x:v>
      </x:c>
      <x:c r="O212" s="2" t="str">
        <x:v>PP-0926</x:v>
      </x:c>
    </x:row>
    <x:row r="213" ht="36" customHeight="1">
      <x:c r="A213" s="10" t="d">
        <x:v>2026-09-26T00:00:00.000Z</x:v>
      </x:c>
      <x:c r="B213" s="2" t="str">
        <x:v>D10</x:v>
      </x:c>
      <x:c r="C213" s="2" t="str">
        <x:v>P025</x:v>
      </x:c>
      <x:c r="D213" s="2" t="str">
        <x:v>WO-0926-10-01</x:v>
      </x:c>
      <x:c r="E213" s="2" t="n">
        <x:v>300</x:v>
      </x:c>
      <x:c r="F213" s="11" t="n">
        <x:v>0.06</x:v>
      </x:c>
      <x:c r="G213" s="11" t="n">
        <x:f>IF(F213="","",E213*F213)</x:f>
        <x:v>18</x:v>
      </x:c>
      <x:c r="H213" s="12" t="n">
        <x:f>IF(OR(G213="",'线体日汇总'!H75="",'线体日汇总'!H75=0),"",G213/'线体日汇总'!H75)</x:f>
        <x:v>0.30201342281879195</x:v>
      </x:c>
      <x:c r="I213" s="11" t="n">
        <x:f>IF(OR(H213="",'线体日汇总'!G75=""),"",H213*'线体日汇总'!G75)</x:f>
        <x:v>14.400010067114094</x:v>
      </x:c>
      <x:c r="J213" s="12" t="n">
        <x:f>IF(OR(G213="",G213=0,I213=""),"",(I213-G213)/G213)</x:f>
        <x:v>-0.1999994407158837</x:v>
      </x:c>
      <x:c r="K213" s="2" t="n">
        <x:v>760</x:v>
      </x:c>
      <x:c r="L213" s="2" t="n">
        <x:v>7</x:v>
      </x:c>
      <x:c r="M213" s="12" t="n">
        <x:f>IF(OR(K213="",K213=0),"",L213/K213)</x:f>
        <x:v>0.009210526315789473</x:v>
      </x:c>
      <x:c r="N213" s="13" t="str">
        <x:v>正常</x:v>
      </x:c>
      <x:c r="O213" s="2" t="str">
        <x:v>PP-0926</x:v>
      </x:c>
    </x:row>
    <x:row r="214" ht="36" customHeight="1">
      <x:c r="A214" s="10" t="d">
        <x:v>2026-09-26T00:00:00.000Z</x:v>
      </x:c>
      <x:c r="B214" s="2" t="str">
        <x:v>D10</x:v>
      </x:c>
      <x:c r="C214" s="2" t="str">
        <x:v>P026</x:v>
      </x:c>
      <x:c r="D214" s="2" t="str">
        <x:v>WO-0926-10-02</x:v>
      </x:c>
      <x:c r="E214" s="2" t="n">
        <x:v>120</x:v>
      </x:c>
      <x:c r="F214" s="11" t="n">
        <x:v>0.08</x:v>
      </x:c>
      <x:c r="G214" s="11" t="n">
        <x:f>IF(F214="","",E214*F214)</x:f>
        <x:v>9.6</x:v>
      </x:c>
      <x:c r="H214" s="12" t="n">
        <x:f>IF(OR(G214="",'线体日汇总'!H75="",'线体日汇总'!H75=0),"",G214/'线体日汇总'!H75)</x:f>
        <x:v>0.1610738255033557</x:v>
      </x:c>
      <x:c r="I214" s="11" t="n">
        <x:f>IF(OR(H214="",'线体日汇总'!G75=""),"",H214*'线体日汇总'!G75)</x:f>
        <x:v>7.6800053691275165</x:v>
      </x:c>
      <x:c r="J214" s="12" t="n">
        <x:f>IF(OR(G214="",G214=0,I214=""),"",(I214-G214)/G214)</x:f>
        <x:v>-0.19999944071588366</x:v>
      </x:c>
      <x:c r="K214" s="2" t="n">
        <x:v>1000</x:v>
      </x:c>
      <x:c r="L214" s="2" t="n">
        <x:v>8</x:v>
      </x:c>
      <x:c r="M214" s="12" t="n">
        <x:f>IF(OR(K214="",K214=0),"",L214/K214)</x:f>
        <x:v>0.008</x:v>
      </x:c>
      <x:c r="N214" s="13" t="str">
        <x:v>正常</x:v>
      </x:c>
      <x:c r="O214" s="2" t="str">
        <x:v>PP-0926</x:v>
      </x:c>
    </x:row>
    <x:row r="215" ht="36" customHeight="1">
      <x:c r="A215" s="10" t="d">
        <x:v>2026-09-26T00:00:00.000Z</x:v>
      </x:c>
      <x:c r="B215" s="2" t="str">
        <x:v>D10</x:v>
      </x:c>
      <x:c r="C215" s="2" t="str">
        <x:v>P027</x:v>
      </x:c>
      <x:c r="D215" s="2" t="str">
        <x:v>WO-0926-10-03</x:v>
      </x:c>
      <x:c r="E215" s="2" t="n">
        <x:v>320</x:v>
      </x:c>
      <x:c r="F215" s="11" t="n">
        <x:v>0.1</x:v>
      </x:c>
      <x:c r="G215" s="11" t="n">
        <x:f>IF(F215="","",E215*F215)</x:f>
        <x:v>32</x:v>
      </x:c>
      <x:c r="H215" s="12" t="n">
        <x:f>IF(OR(G215="",'线体日汇总'!H75="",'线体日汇总'!H75=0),"",G215/'线体日汇总'!H75)</x:f>
        <x:v>0.5369127516778524</x:v>
      </x:c>
      <x:c r="I215" s="11" t="n">
        <x:f>IF(OR(H215="",'线体日汇总'!G75=""),"",H215*'线体日汇总'!G75)</x:f>
        <x:v>25.600017897091725</x:v>
      </x:c>
      <x:c r="J215" s="12" t="n">
        <x:f>IF(OR(G215="",G215=0,I215=""),"",(I215-G215)/G215)</x:f>
        <x:v>-0.1999994407158836</x:v>
      </x:c>
      <x:c r="K215" s="2" t="n">
        <x:v>840</x:v>
      </x:c>
      <x:c r="L215" s="2" t="n">
        <x:v>5</x:v>
      </x:c>
      <x:c r="M215" s="12" t="n">
        <x:f>IF(OR(K215="",K215=0),"",L215/K215)</x:f>
        <x:v>0.005952380952380952</x:v>
      </x:c>
      <x:c r="N215" s="13" t="str">
        <x:v>正常</x:v>
      </x:c>
      <x:c r="O215" s="2" t="str">
        <x:v>PP-0926</x:v>
      </x:c>
    </x:row>
    <x:row r="216" ht="36" customHeight="1">
      <x:c r="A216" s="10" t="d">
        <x:v>2026-09-26T00:00:00.000Z</x:v>
      </x:c>
      <x:c r="B216" s="2" t="str">
        <x:v>D11</x:v>
      </x:c>
      <x:c r="C216" s="2" t="str">
        <x:v>P027</x:v>
      </x:c>
      <x:c r="D216" s="2" t="str">
        <x:v>WO-0926-11-01</x:v>
      </x:c>
      <x:c r="E216" s="2" t="n">
        <x:v>220</x:v>
      </x:c>
      <x:c r="F216" s="11" t="n">
        <x:v>0.1</x:v>
      </x:c>
      <x:c r="G216" s="11" t="n">
        <x:f>IF(F216="","",E216*F216)</x:f>
        <x:v>22</x:v>
      </x:c>
      <x:c r="H216" s="12" t="n">
        <x:f>IF(OR(G216="",'线体日汇总'!H76="",'线体日汇总'!H76=0),"",G216/'线体日汇总'!H76)</x:f>
        <x:v>0.30386740331491713</x:v>
      </x:c>
      <x:c r="I216" s="11" t="n">
        <x:f>IF(OR(H216="",'线体日汇总'!G76=""),"",H216*'线体日汇总'!G76)</x:f>
        <x:v>29.700000000000003</x:v>
      </x:c>
      <x:c r="J216" s="12" t="n">
        <x:f>IF(OR(G216="",G216=0,I216=""),"",(I216-G216)/G216)</x:f>
        <x:v>0.35000000000000014</x:v>
      </x:c>
      <x:c r="K216" s="2"/>
      <x:c r="L216" s="2"/>
      <x:c r="M216" s="12" t="str">
        <x:f>IF(OR(K216="",K216=0),"",L216/K216)</x:f>
      </x:c>
      <x:c r="N216" s="13" t="str">
        <x:v>排期偏差异常；质检记录缺失</x:v>
      </x:c>
      <x:c r="O216" s="2" t="str">
        <x:v>PP-0926</x:v>
      </x:c>
    </x:row>
    <x:row r="217" ht="36" customHeight="1">
      <x:c r="A217" s="10" t="d">
        <x:v>2026-09-26T00:00:00.000Z</x:v>
      </x:c>
      <x:c r="B217" s="2" t="str">
        <x:v>D11</x:v>
      </x:c>
      <x:c r="C217" s="2" t="str">
        <x:v>P028</x:v>
      </x:c>
      <x:c r="D217" s="2" t="str">
        <x:v>WO-0926-11-02</x:v>
      </x:c>
      <x:c r="E217" s="2" t="n">
        <x:v>260</x:v>
      </x:c>
      <x:c r="F217" s="11" t="n">
        <x:v>0.09000000000000001</x:v>
      </x:c>
      <x:c r="G217" s="11" t="n">
        <x:f>IF(F217="","",E217*F217)</x:f>
        <x:v>23.400000000000002</x:v>
      </x:c>
      <x:c r="H217" s="12" t="n">
        <x:f>IF(OR(G217="",'线体日汇总'!H76="",'线体日汇总'!H76=0),"",G217/'线体日汇总'!H76)</x:f>
        <x:v>0.32320441988950277</x:v>
      </x:c>
      <x:c r="I217" s="11" t="n">
        <x:f>IF(OR(H217="",'线体日汇总'!G76=""),"",H217*'线体日汇总'!G76)</x:f>
        <x:v>31.590000000000003</x:v>
      </x:c>
      <x:c r="J217" s="12" t="n">
        <x:f>IF(OR(G217="",G217=0,I217=""),"",(I217-G217)/G217)</x:f>
        <x:v>0.35000000000000003</x:v>
      </x:c>
      <x:c r="K217" s="2" t="n">
        <x:v>1380</x:v>
      </x:c>
      <x:c r="L217" s="2" t="n">
        <x:v>67</x:v>
      </x:c>
      <x:c r="M217" s="12" t="n">
        <x:f>IF(OR(K217="",K217=0),"",L217/K217)</x:f>
        <x:v>0.04855072463768116</x:v>
      </x:c>
      <x:c r="N217" s="13" t="str">
        <x:v>排期偏差异常；质量异常</x:v>
      </x:c>
      <x:c r="O217" s="2" t="str">
        <x:v>PC-043</x:v>
      </x:c>
    </x:row>
    <x:row r="218" ht="36" customHeight="1">
      <x:c r="A218" s="10" t="d">
        <x:v>2026-09-26T00:00:00.000Z</x:v>
      </x:c>
      <x:c r="B218" s="2" t="str">
        <x:v>D11</x:v>
      </x:c>
      <x:c r="C218" s="2" t="str">
        <x:v>P029</x:v>
      </x:c>
      <x:c r="D218" s="2" t="str">
        <x:v>WO-0926-11-03</x:v>
      </x:c>
      <x:c r="E218" s="2" t="n">
        <x:v>180</x:v>
      </x:c>
      <x:c r="F218" s="11" t="n">
        <x:v>0.15</x:v>
      </x:c>
      <x:c r="G218" s="11" t="n">
        <x:f>IF(F218="","",E218*F218)</x:f>
        <x:v>27</x:v>
      </x:c>
      <x:c r="H218" s="12" t="n">
        <x:f>IF(OR(G218="",'线体日汇总'!H76="",'线体日汇总'!H76=0),"",G218/'线体日汇总'!H76)</x:f>
        <x:v>0.3729281767955801</x:v>
      </x:c>
      <x:c r="I218" s="11" t="n">
        <x:f>IF(OR(H218="",'线体日汇总'!G76=""),"",H218*'线体日汇总'!G76)</x:f>
        <x:v>36.45</x:v>
      </x:c>
      <x:c r="J218" s="12" t="n">
        <x:f>IF(OR(G218="",G218=0,I218=""),"",(I218-G218)/G218)</x:f>
        <x:v>0.3500000000000001</x:v>
      </x:c>
      <x:c r="K218" s="2" t="n">
        <x:v>1160</x:v>
      </x:c>
      <x:c r="L218" s="2" t="n">
        <x:v>4</x:v>
      </x:c>
      <x:c r="M218" s="12" t="n">
        <x:f>IF(OR(K218="",K218=0),"",L218/K218)</x:f>
        <x:v>0.0034482758620689655</x:v>
      </x:c>
      <x:c r="N218" s="13" t="str">
        <x:v>排期偏差异常</x:v>
      </x:c>
      <x:c r="O218" s="2" t="str">
        <x:v>PP-0926</x:v>
      </x:c>
    </x:row>
    <x:row r="219" ht="36" customHeight="1">
      <x:c r="A219" s="10" t="d">
        <x:v>2026-09-26T00:00:00.000Z</x:v>
      </x:c>
      <x:c r="B219" s="2" t="str">
        <x:v>D12</x:v>
      </x:c>
      <x:c r="C219" s="2" t="str">
        <x:v>P029</x:v>
      </x:c>
      <x:c r="D219" s="2" t="str">
        <x:v>WO-0926-12-01</x:v>
      </x:c>
      <x:c r="E219" s="2" t="n">
        <x:v>140</x:v>
      </x:c>
      <x:c r="F219" s="11" t="n">
        <x:v>0.15</x:v>
      </x:c>
      <x:c r="G219" s="11" t="n">
        <x:f>IF(F219="","",E219*F219)</x:f>
        <x:v>21</x:v>
      </x:c>
      <x:c r="H219" s="12" t="n">
        <x:f>IF(OR(G219="",'线体日汇总'!H77="",'线体日汇总'!H77=0),"",G219/'线体日汇总'!H77)</x:f>
        <x:v>0.3442622950819672</x:v>
      </x:c>
      <x:c r="I219" s="11" t="n">
        <x:f>IF(OR(H219="",'线体日汇总'!G77=""),"",H219*'线体日汇总'!G77)</x:f>
        <x:v>14.700000000000001</x:v>
      </x:c>
      <x:c r="J219" s="12" t="n">
        <x:f>IF(OR(G219="",G219=0,I219=""),"",(I219-G219)/G219)</x:f>
        <x:v>-0.29999999999999993</x:v>
      </x:c>
      <x:c r="K219" s="2" t="n">
        <x:v>870</x:v>
      </x:c>
      <x:c r="L219" s="2" t="n">
        <x:v>5</x:v>
      </x:c>
      <x:c r="M219" s="12" t="n">
        <x:f>IF(OR(K219="",K219=0),"",L219/K219)</x:f>
        <x:v>0.005747126436781609</x:v>
      </x:c>
      <x:c r="N219" s="13" t="str">
        <x:v>排期偏差异常；加班占比异常</x:v>
      </x:c>
      <x:c r="O219" s="2" t="str">
        <x:v>PP-0926</x:v>
      </x:c>
    </x:row>
    <x:row r="220" ht="36" customHeight="1">
      <x:c r="A220" s="10" t="d">
        <x:v>2026-09-26T00:00:00.000Z</x:v>
      </x:c>
      <x:c r="B220" s="2" t="str">
        <x:v>D12</x:v>
      </x:c>
      <x:c r="C220" s="2" t="str">
        <x:v>P030</x:v>
      </x:c>
      <x:c r="D220" s="2" t="str">
        <x:v>WO-0926-12-02</x:v>
      </x:c>
      <x:c r="E220" s="2" t="n">
        <x:v>140</x:v>
      </x:c>
      <x:c r="F220" s="11" t="n">
        <x:v>0.2</x:v>
      </x:c>
      <x:c r="G220" s="11" t="n">
        <x:f>IF(F220="","",E220*F220)</x:f>
        <x:v>28</x:v>
      </x:c>
      <x:c r="H220" s="12" t="n">
        <x:f>IF(OR(G220="",'线体日汇总'!H77="",'线体日汇总'!H77=0),"",G220/'线体日汇总'!H77)</x:f>
        <x:v>0.45901639344262296</x:v>
      </x:c>
      <x:c r="I220" s="11" t="n">
        <x:f>IF(OR(H220="",'线体日汇总'!G77=""),"",H220*'线体日汇总'!G77)</x:f>
        <x:v>19.6</x:v>
      </x:c>
      <x:c r="J220" s="12" t="n">
        <x:f>IF(OR(G220="",G220=0,I220=""),"",(I220-G220)/G220)</x:f>
        <x:v>-0.29999999999999993</x:v>
      </x:c>
      <x:c r="K220" s="2" t="n">
        <x:v>1390</x:v>
      </x:c>
      <x:c r="L220" s="2" t="n">
        <x:v>16</x:v>
      </x:c>
      <x:c r="M220" s="12" t="n">
        <x:f>IF(OR(K220="",K220=0),"",L220/K220)</x:f>
        <x:v>0.011510791366906475</x:v>
      </x:c>
      <x:c r="N220" s="13" t="str">
        <x:v>排期偏差异常；加班占比异常</x:v>
      </x:c>
      <x:c r="O220" s="2" t="str">
        <x:v>PP-0926</x:v>
      </x:c>
    </x:row>
    <x:row r="221" ht="36" customHeight="1">
      <x:c r="A221" s="10" t="d">
        <x:v>2026-09-26T00:00:00.000Z</x:v>
      </x:c>
      <x:c r="B221" s="2" t="str">
        <x:v>D12</x:v>
      </x:c>
      <x:c r="C221" s="2" t="str">
        <x:v>P031</x:v>
      </x:c>
      <x:c r="D221" s="2" t="str">
        <x:v>WO-0926-12-03</x:v>
      </x:c>
      <x:c r="E221" s="2" t="n">
        <x:v>200</x:v>
      </x:c>
      <x:c r="F221" s="11" t="n">
        <x:v>0.06</x:v>
      </x:c>
      <x:c r="G221" s="11" t="n">
        <x:f>IF(F221="","",E221*F221)</x:f>
        <x:v>12</x:v>
      </x:c>
      <x:c r="H221" s="12" t="n">
        <x:f>IF(OR(G221="",'线体日汇总'!H77="",'线体日汇总'!H77=0),"",G221/'线体日汇总'!H77)</x:f>
        <x:v>0.19672131147540983</x:v>
      </x:c>
      <x:c r="I221" s="11" t="n">
        <x:f>IF(OR(H221="",'线体日汇总'!G77=""),"",H221*'线体日汇总'!G77)</x:f>
        <x:v>8.4</x:v>
      </x:c>
      <x:c r="J221" s="12" t="n">
        <x:f>IF(OR(G221="",G221=0,I221=""),"",(I221-G221)/G221)</x:f>
        <x:v>-0.3</x:v>
      </x:c>
      <x:c r="K221" s="2" t="n">
        <x:v>1150</x:v>
      </x:c>
      <x:c r="L221" s="2" t="n">
        <x:v>13</x:v>
      </x:c>
      <x:c r="M221" s="12" t="n">
        <x:f>IF(OR(K221="",K221=0),"",L221/K221)</x:f>
        <x:v>0.011304347826086957</x:v>
      </x:c>
      <x:c r="N221" s="13" t="str">
        <x:v>排期偏差异常；加班占比异常</x:v>
      </x:c>
      <x:c r="O221" s="2" t="str">
        <x:v>PP-0926</x:v>
      </x:c>
    </x:row>
    <x:row r="222" ht="36" customHeight="1">
      <x:c r="A222" s="10" t="d">
        <x:v>2026-09-27T00:00:00.000Z</x:v>
      </x:c>
      <x:c r="B222" s="2" t="str">
        <x:v>D01</x:v>
      </x:c>
      <x:c r="C222" s="2" t="str">
        <x:v>P008</x:v>
      </x:c>
      <x:c r="D222" s="2" t="str">
        <x:v>WO-0927-01-01</x:v>
      </x:c>
      <x:c r="E222" s="2" t="n">
        <x:v>260</x:v>
      </x:c>
      <x:c r="F222" s="11" t="n">
        <x:v>0.060000000000000005</x:v>
      </x:c>
      <x:c r="G222" s="11" t="n">
        <x:f>IF(F222="","",E222*F222)</x:f>
        <x:v>15.600000000000001</x:v>
      </x:c>
      <x:c r="H222" s="12" t="n">
        <x:f>IF(OR(G222="",'线体日汇总'!H78="",'线体日汇总'!H78=0),"",G222/'线体日汇总'!H78)</x:f>
        <x:v>0.23353293413173656</x:v>
      </x:c>
      <x:c r="I222" s="11" t="n">
        <x:f>IF(OR(H222="",'线体日汇总'!G78=""),"",H222*'线体日汇总'!G78)</x:f>
        <x:v>14.82</x:v>
      </x:c>
      <x:c r="J222" s="12" t="n">
        <x:f>IF(OR(G222="",G222=0,I222=""),"",(I222-G222)/G222)</x:f>
        <x:v>-0.050000000000000065</x:v>
      </x:c>
      <x:c r="K222" s="2" t="n">
        <x:v>1250</x:v>
      </x:c>
      <x:c r="L222" s="2" t="n">
        <x:v>4</x:v>
      </x:c>
      <x:c r="M222" s="12" t="n">
        <x:f>IF(OR(K222="",K222=0),"",L222/K222)</x:f>
        <x:v>0.0032</x:v>
      </x:c>
      <x:c r="N222" s="13" t="str">
        <x:v>正常</x:v>
      </x:c>
      <x:c r="O222" s="2" t="str">
        <x:v>PP-0927</x:v>
      </x:c>
    </x:row>
    <x:row r="223" ht="36" customHeight="1">
      <x:c r="A223" s="10" t="d">
        <x:v>2026-09-27T00:00:00.000Z</x:v>
      </x:c>
      <x:c r="B223" s="2" t="str">
        <x:v>D01</x:v>
      </x:c>
      <x:c r="C223" s="2" t="str">
        <x:v>P009</x:v>
      </x:c>
      <x:c r="D223" s="2" t="str">
        <x:v>WO-0927-01-02</x:v>
      </x:c>
      <x:c r="E223" s="2" t="n">
        <x:v>320</x:v>
      </x:c>
      <x:c r="F223" s="11" t="n">
        <x:v>0.1</x:v>
      </x:c>
      <x:c r="G223" s="11" t="n">
        <x:f>IF(F223="","",E223*F223)</x:f>
        <x:v>32</x:v>
      </x:c>
      <x:c r="H223" s="12" t="n">
        <x:f>IF(OR(G223="",'线体日汇总'!H78="",'线体日汇总'!H78=0),"",G223/'线体日汇总'!H78)</x:f>
        <x:v>0.47904191616766467</x:v>
      </x:c>
      <x:c r="I223" s="11" t="n">
        <x:f>IF(OR(H223="",'线体日汇总'!G78=""),"",H223*'线体日汇总'!G78)</x:f>
        <x:v>30.4</x:v>
      </x:c>
      <x:c r="J223" s="12" t="n">
        <x:f>IF(OR(G223="",G223=0,I223=""),"",(I223-G223)/G223)</x:f>
        <x:v>-0.050000000000000044</x:v>
      </x:c>
      <x:c r="K223" s="2" t="n">
        <x:v>1180</x:v>
      </x:c>
      <x:c r="L223" s="2" t="n">
        <x:v>6</x:v>
      </x:c>
      <x:c r="M223" s="12" t="n">
        <x:f>IF(OR(K223="",K223=0),"",L223/K223)</x:f>
        <x:v>0.005084745762711864</x:v>
      </x:c>
      <x:c r="N223" s="13" t="str">
        <x:v>正常</x:v>
      </x:c>
      <x:c r="O223" s="2" t="str">
        <x:v>PP-0927</x:v>
      </x:c>
    </x:row>
    <x:row r="224" ht="36" customHeight="1">
      <x:c r="A224" s="10" t="d">
        <x:v>2026-09-27T00:00:00.000Z</x:v>
      </x:c>
      <x:c r="B224" s="2" t="str">
        <x:v>D01</x:v>
      </x:c>
      <x:c r="C224" s="2" t="str">
        <x:v>P010</x:v>
      </x:c>
      <x:c r="D224" s="2" t="str">
        <x:v>WO-0927-01-03</x:v>
      </x:c>
      <x:c r="E224" s="2" t="n">
        <x:v>160</x:v>
      </x:c>
      <x:c r="F224" s="11" t="n">
        <x:v>0.11999999999999998</x:v>
      </x:c>
      <x:c r="G224" s="11" t="n">
        <x:f>IF(F224="","",E224*F224)</x:f>
        <x:v>19.199999999999996</x:v>
      </x:c>
      <x:c r="H224" s="12" t="n">
        <x:f>IF(OR(G224="",'线体日汇总'!H78="",'线体日汇总'!H78=0),"",G224/'线体日汇总'!H78)</x:f>
        <x:v>0.28742514970059874</x:v>
      </x:c>
      <x:c r="I224" s="11" t="n">
        <x:f>IF(OR(H224="",'线体日汇总'!G78=""),"",H224*'线体日汇总'!G78)</x:f>
        <x:v>18.239999999999995</x:v>
      </x:c>
      <x:c r="J224" s="12" t="n">
        <x:f>IF(OR(G224="",G224=0,I224=""),"",(I224-G224)/G224)</x:f>
        <x:v>-0.05000000000000006</x:v>
      </x:c>
      <x:c r="K224" s="2" t="n">
        <x:v>1190</x:v>
      </x:c>
      <x:c r="L224" s="2" t="n">
        <x:v>16</x:v>
      </x:c>
      <x:c r="M224" s="12" t="n">
        <x:f>IF(OR(K224="",K224=0),"",L224/K224)</x:f>
        <x:v>0.013445378151260505</x:v>
      </x:c>
      <x:c r="N224" s="13" t="str">
        <x:v>正常</x:v>
      </x:c>
      <x:c r="O224" s="2" t="str">
        <x:v>PP-0927</x:v>
      </x:c>
    </x:row>
    <x:row r="225" ht="36" customHeight="1">
      <x:c r="A225" s="10" t="d">
        <x:v>2026-09-27T00:00:00.000Z</x:v>
      </x:c>
      <x:c r="B225" s="2" t="str">
        <x:v>D02</x:v>
      </x:c>
      <x:c r="C225" s="2" t="str">
        <x:v>P010</x:v>
      </x:c>
      <x:c r="D225" s="2" t="str">
        <x:v>WO-0927-02-01</x:v>
      </x:c>
      <x:c r="E225" s="2" t="n">
        <x:v>220</x:v>
      </x:c>
      <x:c r="F225" s="11" t="n">
        <x:v>0.11999999999999998</x:v>
      </x:c>
      <x:c r="G225" s="11" t="n">
        <x:f>IF(F225="","",E225*F225)</x:f>
        <x:v>26.399999999999995</x:v>
      </x:c>
      <x:c r="H225" s="12" t="n">
        <x:f>IF(OR(G225="",'线体日汇总'!H79="",'线体日汇总'!H79=0),"",G225/'线体日汇总'!H79)</x:f>
        <x:v>0.22297297297297294</x:v>
      </x:c>
      <x:c r="I225" s="11" t="n">
        <x:f>IF(OR(H225="",'线体日汇总'!G79=""),"",H225*'线体日汇总'!G79)</x:f>
        <x:v>44.879999999999995</x:v>
      </x:c>
      <x:c r="J225" s="12" t="n">
        <x:f>IF(OR(G225="",G225=0,I225=""),"",(I225-G225)/G225)</x:f>
        <x:v>0.7000000000000002</x:v>
      </x:c>
      <x:c r="K225" s="2" t="n">
        <x:v>1110</x:v>
      </x:c>
      <x:c r="L225" s="2" t="n">
        <x:v>6</x:v>
      </x:c>
      <x:c r="M225" s="12" t="n">
        <x:f>IF(OR(K225="",K225=0),"",L225/K225)</x:f>
        <x:v>0.005405405405405406</x:v>
      </x:c>
      <x:c r="N225" s="13" t="str">
        <x:v>排期偏差异常</x:v>
      </x:c>
      <x:c r="O225" s="2" t="str">
        <x:v>PP-0927</x:v>
      </x:c>
    </x:row>
    <x:row r="226" ht="36" customHeight="1">
      <x:c r="A226" s="10" t="d">
        <x:v>2026-09-27T00:00:00.000Z</x:v>
      </x:c>
      <x:c r="B226" s="2" t="str">
        <x:v>D02</x:v>
      </x:c>
      <x:c r="C226" s="2" t="str">
        <x:v>P011</x:v>
      </x:c>
      <x:c r="D226" s="2" t="str">
        <x:v>WO-0927-02-02</x:v>
      </x:c>
      <x:c r="E226" s="2" t="n">
        <x:v>240</x:v>
      </x:c>
      <x:c r="F226" s="11" t="n">
        <x:v>0.15</x:v>
      </x:c>
      <x:c r="G226" s="11" t="n">
        <x:f>IF(F226="","",E226*F226)</x:f>
        <x:v>36</x:v>
      </x:c>
      <x:c r="H226" s="12" t="n">
        <x:f>IF(OR(G226="",'线体日汇总'!H79="",'线体日汇总'!H79=0),"",G226/'线体日汇总'!H79)</x:f>
        <x:v>0.30405405405405406</x:v>
      </x:c>
      <x:c r="I226" s="11" t="n">
        <x:f>IF(OR(H226="",'线体日汇总'!G79=""),"",H226*'线体日汇总'!G79)</x:f>
        <x:v>61.2</x:v>
      </x:c>
      <x:c r="J226" s="12" t="n">
        <x:f>IF(OR(G226="",G226=0,I226=""),"",(I226-G226)/G226)</x:f>
        <x:v>0.7000000000000001</x:v>
      </x:c>
      <x:c r="K226" s="2" t="n">
        <x:v>1290</x:v>
      </x:c>
      <x:c r="L226" s="2" t="n">
        <x:v>5</x:v>
      </x:c>
      <x:c r="M226" s="12" t="n">
        <x:f>IF(OR(K226="",K226=0),"",L226/K226)</x:f>
        <x:v>0.003875968992248062</x:v>
      </x:c>
      <x:c r="N226" s="13" t="str">
        <x:v>排期偏差异常</x:v>
      </x:c>
      <x:c r="O226" s="2" t="str">
        <x:v>PP-0927</x:v>
      </x:c>
    </x:row>
    <x:row r="227" ht="36" customHeight="1">
      <x:c r="A227" s="10" t="d">
        <x:v>2026-09-27T00:00:00.000Z</x:v>
      </x:c>
      <x:c r="B227" s="2" t="str">
        <x:v>D02</x:v>
      </x:c>
      <x:c r="C227" s="2" t="str">
        <x:v>P012</x:v>
      </x:c>
      <x:c r="D227" s="2" t="str">
        <x:v>WO-0927-02-03</x:v>
      </x:c>
      <x:c r="E227" s="2" t="n">
        <x:v>280</x:v>
      </x:c>
      <x:c r="F227" s="11" t="n">
        <x:v>0.2</x:v>
      </x:c>
      <x:c r="G227" s="11" t="n">
        <x:f>IF(F227="","",E227*F227)</x:f>
        <x:v>56</x:v>
      </x:c>
      <x:c r="H227" s="12" t="n">
        <x:f>IF(OR(G227="",'线体日汇总'!H79="",'线体日汇总'!H79=0),"",G227/'线体日汇总'!H79)</x:f>
        <x:v>0.472972972972973</x:v>
      </x:c>
      <x:c r="I227" s="11" t="n">
        <x:f>IF(OR(H227="",'线体日汇总'!G79=""),"",H227*'线体日汇总'!G79)</x:f>
        <x:v>95.20000000000002</x:v>
      </x:c>
      <x:c r="J227" s="12" t="n">
        <x:f>IF(OR(G227="",G227=0,I227=""),"",(I227-G227)/G227)</x:f>
        <x:v>0.7000000000000003</x:v>
      </x:c>
      <x:c r="K227" s="2" t="n">
        <x:v>1320</x:v>
      </x:c>
      <x:c r="L227" s="2" t="n">
        <x:v>9</x:v>
      </x:c>
      <x:c r="M227" s="12" t="n">
        <x:f>IF(OR(K227="",K227=0),"",L227/K227)</x:f>
        <x:v>0.006818181818181818</x:v>
      </x:c>
      <x:c r="N227" s="13" t="str">
        <x:v>排期偏差异常</x:v>
      </x:c>
      <x:c r="O227" s="2" t="str">
        <x:v>PP-0927</x:v>
      </x:c>
    </x:row>
    <x:row r="228" ht="36" customHeight="1">
      <x:c r="A228" s="10" t="d">
        <x:v>2026-09-27T00:00:00.000Z</x:v>
      </x:c>
      <x:c r="B228" s="2" t="str">
        <x:v>D03</x:v>
      </x:c>
      <x:c r="C228" s="2" t="str">
        <x:v>P012</x:v>
      </x:c>
      <x:c r="D228" s="2" t="str">
        <x:v>WO-0927-03-01</x:v>
      </x:c>
      <x:c r="E228" s="2" t="n">
        <x:v>340</x:v>
      </x:c>
      <x:c r="F228" s="11" t="n">
        <x:v>0.2</x:v>
      </x:c>
      <x:c r="G228" s="11" t="n">
        <x:f>IF(F228="","",E228*F228)</x:f>
        <x:v>68</x:v>
      </x:c>
      <x:c r="H228" s="12" t="n">
        <x:f>IF(OR(G228="",'线体日汇总'!H80="",'线体日汇总'!H80=0),"",G228/'线体日汇总'!H80)</x:f>
        <x:v>0.6181818181818182</x:v>
      </x:c>
      <x:c r="I228" s="11" t="n">
        <x:f>IF(OR(H228="",'线体日汇总'!G80=""),"",H228*'线体日汇总'!G80)</x:f>
        <x:v>78.1999793939394</x:v>
      </x:c>
      <x:c r="J228" s="12" t="n">
        <x:f>IF(OR(G228="",G228=0,I228=""),"",(I228-G228)/G228)</x:f>
        <x:v>0.14999969696969706</x:v>
      </x:c>
      <x:c r="K228" s="2" t="n">
        <x:v>1230</x:v>
      </x:c>
      <x:c r="L228" s="2" t="n">
        <x:v>7</x:v>
      </x:c>
      <x:c r="M228" s="12" t="n">
        <x:f>IF(OR(K228="",K228=0),"",L228/K228)</x:f>
        <x:v>0.005691056910569106</x:v>
      </x:c>
      <x:c r="N228" s="13" t="str">
        <x:v>加班占比异常</x:v>
      </x:c>
      <x:c r="O228" s="2" t="str">
        <x:v>PP-0927</x:v>
      </x:c>
    </x:row>
    <x:row r="229" ht="36" customHeight="1">
      <x:c r="A229" s="10" t="d">
        <x:v>2026-09-27T00:00:00.000Z</x:v>
      </x:c>
      <x:c r="B229" s="2" t="str">
        <x:v>D03</x:v>
      </x:c>
      <x:c r="C229" s="2" t="str">
        <x:v>P013</x:v>
      </x:c>
      <x:c r="D229" s="2" t="str">
        <x:v>WO-0927-03-02</x:v>
      </x:c>
      <x:c r="E229" s="2" t="n">
        <x:v>340</x:v>
      </x:c>
      <x:c r="F229" s="11" t="n">
        <x:v>0.06</x:v>
      </x:c>
      <x:c r="G229" s="11" t="n">
        <x:f>IF(F229="","",E229*F229)</x:f>
        <x:v>20.4</x:v>
      </x:c>
      <x:c r="H229" s="12" t="n">
        <x:f>IF(OR(G229="",'线体日汇总'!H80="",'线体日汇总'!H80=0),"",G229/'线体日汇总'!H80)</x:f>
        <x:v>0.18545454545454546</x:v>
      </x:c>
      <x:c r="I229" s="11" t="n">
        <x:f>IF(OR(H229="",'线体日汇总'!G80=""),"",H229*'线体日汇总'!G80)</x:f>
        <x:v>23.45999381818182</x:v>
      </x:c>
      <x:c r="J229" s="12" t="n">
        <x:f>IF(OR(G229="",G229=0,I229=""),"",(I229-G229)/G229)</x:f>
        <x:v>0.14999969696969723</x:v>
      </x:c>
      <x:c r="K229" s="2" t="n">
        <x:v>540</x:v>
      </x:c>
      <x:c r="L229" s="2" t="n">
        <x:v>8</x:v>
      </x:c>
      <x:c r="M229" s="12" t="n">
        <x:f>IF(OR(K229="",K229=0),"",L229/K229)</x:f>
        <x:v>0.014814814814814815</x:v>
      </x:c>
      <x:c r="N229" s="13" t="str">
        <x:v>加班占比异常</x:v>
      </x:c>
      <x:c r="O229" s="2" t="str">
        <x:v>PP-0927</x:v>
      </x:c>
    </x:row>
    <x:row r="230" ht="36" customHeight="1">
      <x:c r="A230" s="10" t="d">
        <x:v>2026-09-27T00:00:00.000Z</x:v>
      </x:c>
      <x:c r="B230" s="2" t="str">
        <x:v>D03</x:v>
      </x:c>
      <x:c r="C230" s="2" t="str">
        <x:v>P014</x:v>
      </x:c>
      <x:c r="D230" s="2" t="str">
        <x:v>WO-0927-03-03</x:v>
      </x:c>
      <x:c r="E230" s="2" t="n">
        <x:v>360</x:v>
      </x:c>
      <x:c r="F230" s="11" t="n">
        <x:v>0.060000000000000005</x:v>
      </x:c>
      <x:c r="G230" s="11" t="n">
        <x:f>IF(F230="","",E230*F230)</x:f>
        <x:v>21.6</x:v>
      </x:c>
      <x:c r="H230" s="12" t="n">
        <x:f>IF(OR(G230="",'线体日汇总'!H80="",'线体日汇总'!H80=0),"",G230/'线体日汇总'!H80)</x:f>
        <x:v>0.19636363636363638</x:v>
      </x:c>
      <x:c r="I230" s="11" t="n">
        <x:f>IF(OR(H230="",'线体日汇总'!G80=""),"",H230*'线体日汇总'!G80)</x:f>
        <x:v>24.83999345454546</x:v>
      </x:c>
      <x:c r="J230" s="12" t="n">
        <x:f>IF(OR(G230="",G230=0,I230=""),"",(I230-G230)/G230)</x:f>
        <x:v>0.14999969696969717</x:v>
      </x:c>
      <x:c r="K230" s="2" t="n">
        <x:v>950</x:v>
      </x:c>
      <x:c r="L230" s="2" t="n">
        <x:v>10</x:v>
      </x:c>
      <x:c r="M230" s="12" t="n">
        <x:f>IF(OR(K230="",K230=0),"",L230/K230)</x:f>
        <x:v>0.010526315789473684</x:v>
      </x:c>
      <x:c r="N230" s="13" t="str">
        <x:v>加班占比异常</x:v>
      </x:c>
      <x:c r="O230" s="2" t="str">
        <x:v>PC-045</x:v>
      </x:c>
    </x:row>
    <x:row r="231" ht="36" customHeight="1">
      <x:c r="A231" s="10" t="d">
        <x:v>2026-09-27T00:00:00.000Z</x:v>
      </x:c>
      <x:c r="B231" s="2" t="str">
        <x:v>D04</x:v>
      </x:c>
      <x:c r="C231" s="2" t="str">
        <x:v>P014</x:v>
      </x:c>
      <x:c r="D231" s="2" t="str">
        <x:v>WO-0927-04-01</x:v>
      </x:c>
      <x:c r="E231" s="2" t="n">
        <x:v>140</x:v>
      </x:c>
      <x:c r="F231" s="11" t="n">
        <x:v>0.060000000000000005</x:v>
      </x:c>
      <x:c r="G231" s="11" t="n">
        <x:f>IF(F231="","",E231*F231)</x:f>
        <x:v>8.4</x:v>
      </x:c>
      <x:c r="H231" s="12" t="n">
        <x:f>IF(OR(G231="",'线体日汇总'!H81="",'线体日汇总'!H81=0),"",G231/'线体日汇总'!H81)</x:f>
        <x:v>0.15555555555555556</x:v>
      </x:c>
      <x:c r="I231" s="11" t="n">
        <x:f>IF(OR(H231="",'线体日汇总'!G81=""),"",H231*'线体日汇总'!G81)</x:f>
        <x:v>10.079994814814814</x:v>
      </x:c>
      <x:c r="J231" s="12" t="n">
        <x:f>IF(OR(G231="",G231=0,I231=""),"",(I231-G231)/G231)</x:f>
        <x:v>0.19999938271604922</x:v>
      </x:c>
      <x:c r="K231" s="2" t="n">
        <x:v>750</x:v>
      </x:c>
      <x:c r="L231" s="2" t="n">
        <x:v>7</x:v>
      </x:c>
      <x:c r="M231" s="12" t="n">
        <x:f>IF(OR(K231="",K231=0),"",L231/K231)</x:f>
        <x:v>0.009333333333333334</x:v>
      </x:c>
      <x:c r="N231" s="13" t="str">
        <x:v>正常</x:v>
      </x:c>
      <x:c r="O231" s="2" t="str">
        <x:v>PP-0927</x:v>
      </x:c>
    </x:row>
    <x:row r="232" ht="36" customHeight="1">
      <x:c r="A232" s="10" t="d">
        <x:v>2026-09-27T00:00:00.000Z</x:v>
      </x:c>
      <x:c r="B232" s="2" t="str">
        <x:v>D04</x:v>
      </x:c>
      <x:c r="C232" s="2" t="str">
        <x:v>P015</x:v>
      </x:c>
      <x:c r="D232" s="2" t="str">
        <x:v>WO-0927-04-02</x:v>
      </x:c>
      <x:c r="E232" s="2" t="n">
        <x:v>240</x:v>
      </x:c>
      <x:c r="F232" s="11" t="n">
        <x:v>0.1</x:v>
      </x:c>
      <x:c r="G232" s="11" t="n">
        <x:f>IF(F232="","",E232*F232)</x:f>
        <x:v>24</x:v>
      </x:c>
      <x:c r="H232" s="12" t="n">
        <x:f>IF(OR(G232="",'线体日汇总'!H81="",'线体日汇总'!H81=0),"",G232/'线体日汇总'!H81)</x:f>
        <x:v>0.4444444444444444</x:v>
      </x:c>
      <x:c r="I232" s="11" t="n">
        <x:f>IF(OR(H232="",'线体日汇总'!G81=""),"",H232*'线体日汇总'!G81)</x:f>
        <x:v>28.799985185185182</x:v>
      </x:c>
      <x:c r="J232" s="12" t="n">
        <x:f>IF(OR(G232="",G232=0,I232=""),"",(I232-G232)/G232)</x:f>
        <x:v>0.19999938271604925</x:v>
      </x:c>
      <x:c r="K232" s="2" t="n">
        <x:v>790</x:v>
      </x:c>
      <x:c r="L232" s="2" t="n">
        <x:v>13</x:v>
      </x:c>
      <x:c r="M232" s="12" t="n">
        <x:f>IF(OR(K232="",K232=0),"",L232/K232)</x:f>
        <x:v>0.016455696202531647</x:v>
      </x:c>
      <x:c r="N232" s="13" t="str">
        <x:v>正常</x:v>
      </x:c>
      <x:c r="O232" s="2" t="str">
        <x:v>PP-0927</x:v>
      </x:c>
    </x:row>
    <x:row r="233" ht="36" customHeight="1">
      <x:c r="A233" s="10" t="d">
        <x:v>2026-09-27T00:00:00.000Z</x:v>
      </x:c>
      <x:c r="B233" s="2" t="str">
        <x:v>D04</x:v>
      </x:c>
      <x:c r="C233" s="2" t="str">
        <x:v>P016</x:v>
      </x:c>
      <x:c r="D233" s="2" t="str">
        <x:v>WO-0927-04-03</x:v>
      </x:c>
      <x:c r="E233" s="2" t="n">
        <x:v>180</x:v>
      </x:c>
      <x:c r="F233" s="11" t="n">
        <x:v>0.11999999999999998</x:v>
      </x:c>
      <x:c r="G233" s="11" t="n">
        <x:f>IF(F233="","",E233*F233)</x:f>
        <x:v>21.599999999999998</x:v>
      </x:c>
      <x:c r="H233" s="12" t="n">
        <x:f>IF(OR(G233="",'线体日汇总'!H81="",'线体日汇总'!H81=0),"",G233/'线体日汇总'!H81)</x:f>
        <x:v>0.39999999999999997</x:v>
      </x:c>
      <x:c r="I233" s="11" t="n">
        <x:f>IF(OR(H233="",'线体日汇总'!G81=""),"",H233*'线体日汇总'!G81)</x:f>
        <x:v>25.919986666666663</x:v>
      </x:c>
      <x:c r="J233" s="12" t="n">
        <x:f>IF(OR(G233="",G233=0,I233=""),"",(I233-G233)/G233)</x:f>
        <x:v>0.19999938271604933</x:v>
      </x:c>
      <x:c r="K233" s="2" t="n">
        <x:v>1450</x:v>
      </x:c>
      <x:c r="L233" s="2" t="n">
        <x:v>8</x:v>
      </x:c>
      <x:c r="M233" s="12" t="n">
        <x:f>IF(OR(K233="",K233=0),"",L233/K233)</x:f>
        <x:v>0.005517241379310344</x:v>
      </x:c>
      <x:c r="N233" s="13" t="str">
        <x:v>正常</x:v>
      </x:c>
      <x:c r="O233" s="2" t="str">
        <x:v>PP-0927</x:v>
      </x:c>
    </x:row>
    <x:row r="234" ht="36" customHeight="1">
      <x:c r="A234" s="10" t="d">
        <x:v>2026-09-27T00:00:00.000Z</x:v>
      </x:c>
      <x:c r="B234" s="2" t="str">
        <x:v>D05</x:v>
      </x:c>
      <x:c r="C234" s="2" t="str">
        <x:v>P016</x:v>
      </x:c>
      <x:c r="D234" s="2" t="str">
        <x:v>WO-0927-05-01</x:v>
      </x:c>
      <x:c r="E234" s="2" t="n">
        <x:v>120</x:v>
      </x:c>
      <x:c r="F234" s="11" t="n">
        <x:v>0.11999999999999998</x:v>
      </x:c>
      <x:c r="G234" s="11" t="n">
        <x:f>IF(F234="","",E234*F234)</x:f>
        <x:v>14.399999999999999</x:v>
      </x:c>
      <x:c r="H234" s="12" t="n">
        <x:f>IF(OR(G234="",'线体日汇总'!H82="",'线体日汇总'!H82=0),"",G234/'线体日汇总'!H82)</x:f>
        <x:v>0.15254237288135591</x:v>
      </x:c>
      <x:c r="I234" s="11" t="n">
        <x:f>IF(OR(H234="",'线体日汇总'!G82=""),"",H234*'线体日汇总'!G82)</x:f>
        <x:v>11.519994915254237</x:v>
      </x:c>
      <x:c r="J234" s="12" t="n">
        <x:f>IF(OR(G234="",G234=0,I234=""),"",(I234-G234)/G234)</x:f>
        <x:v>-0.20000035310734454</x:v>
      </x:c>
      <x:c r="K234" s="2" t="n">
        <x:v>1030</x:v>
      </x:c>
      <x:c r="L234" s="2" t="n">
        <x:v>10</x:v>
      </x:c>
      <x:c r="M234" s="12" t="n">
        <x:f>IF(OR(K234="",K234=0),"",L234/K234)</x:f>
        <x:v>0.009708737864077669</x:v>
      </x:c>
      <x:c r="N234" s="13" t="str">
        <x:v>排期偏差异常</x:v>
      </x:c>
      <x:c r="O234" s="2" t="str">
        <x:v>PP-0927</x:v>
      </x:c>
    </x:row>
    <x:row r="235" ht="36" customHeight="1">
      <x:c r="A235" s="10" t="d">
        <x:v>2026-09-27T00:00:00.000Z</x:v>
      </x:c>
      <x:c r="B235" s="2" t="str">
        <x:v>D05</x:v>
      </x:c>
      <x:c r="C235" s="2" t="str">
        <x:v>P017</x:v>
      </x:c>
      <x:c r="D235" s="2" t="str">
        <x:v>WO-0927-05-02</x:v>
      </x:c>
      <x:c r="E235" s="2" t="n">
        <x:v>160</x:v>
      </x:c>
      <x:c r="F235" s="11" t="n">
        <x:v>0.15</x:v>
      </x:c>
      <x:c r="G235" s="11" t="n">
        <x:f>IF(F235="","",E235*F235)</x:f>
        <x:v>24</x:v>
      </x:c>
      <x:c r="H235" s="12" t="n">
        <x:f>IF(OR(G235="",'线体日汇总'!H82="",'线体日汇总'!H82=0),"",G235/'线体日汇总'!H82)</x:f>
        <x:v>0.2542372881355932</x:v>
      </x:c>
      <x:c r="I235" s="11" t="n">
        <x:f>IF(OR(H235="",'线体日汇总'!G82=""),"",H235*'线体日汇总'!G82)</x:f>
        <x:v>19.19999152542373</x:v>
      </x:c>
      <x:c r="J235" s="12" t="n">
        <x:f>IF(OR(G235="",G235=0,I235=""),"",(I235-G235)/G235)</x:f>
        <x:v>-0.20000035310734457</x:v>
      </x:c>
      <x:c r="K235" s="2" t="n">
        <x:v>1230</x:v>
      </x:c>
      <x:c r="L235" s="2" t="n">
        <x:v>9</x:v>
      </x:c>
      <x:c r="M235" s="12" t="n">
        <x:f>IF(OR(K235="",K235=0),"",L235/K235)</x:f>
        <x:v>0.007317073170731708</x:v>
      </x:c>
      <x:c r="N235" s="13" t="str">
        <x:v>排期偏差异常</x:v>
      </x:c>
      <x:c r="O235" s="2" t="str">
        <x:v>PP-0927</x:v>
      </x:c>
    </x:row>
    <x:row r="236" ht="36" customHeight="1">
      <x:c r="A236" s="10" t="d">
        <x:v>2026-09-27T00:00:00.000Z</x:v>
      </x:c>
      <x:c r="B236" s="2" t="str">
        <x:v>D05</x:v>
      </x:c>
      <x:c r="C236" s="2" t="str">
        <x:v>P018</x:v>
      </x:c>
      <x:c r="D236" s="2" t="str">
        <x:v>WO-0927-05-03</x:v>
      </x:c>
      <x:c r="E236" s="2" t="n">
        <x:v>280</x:v>
      </x:c>
      <x:c r="F236" s="11" t="n">
        <x:v>0.2</x:v>
      </x:c>
      <x:c r="G236" s="11" t="n">
        <x:f>IF(F236="","",E236*F236)</x:f>
        <x:v>56</x:v>
      </x:c>
      <x:c r="H236" s="12" t="n">
        <x:f>IF(OR(G236="",'线体日汇总'!H82="",'线体日汇总'!H82=0),"",G236/'线体日汇总'!H82)</x:f>
        <x:v>0.5932203389830508</x:v>
      </x:c>
      <x:c r="I236" s="11" t="n">
        <x:f>IF(OR(H236="",'线体日汇总'!G82=""),"",H236*'线体日汇总'!G82)</x:f>
        <x:v>44.799980225988705</x:v>
      </x:c>
      <x:c r="J236" s="12" t="n">
        <x:f>IF(OR(G236="",G236=0,I236=""),"",(I236-G236)/G236)</x:f>
        <x:v>-0.20000035310734457</x:v>
      </x:c>
      <x:c r="K236" s="2" t="n">
        <x:v>770</x:v>
      </x:c>
      <x:c r="L236" s="2" t="n">
        <x:v>15</x:v>
      </x:c>
      <x:c r="M236" s="12" t="n">
        <x:f>IF(OR(K236="",K236=0),"",L236/K236)</x:f>
        <x:v>0.01948051948051948</x:v>
      </x:c>
      <x:c r="N236" s="13" t="str">
        <x:v>排期偏差异常</x:v>
      </x:c>
      <x:c r="O236" s="2" t="str">
        <x:v>PP-0927</x:v>
      </x:c>
    </x:row>
    <x:row r="237" ht="36" customHeight="1">
      <x:c r="A237" s="10" t="d">
        <x:v>2026-09-27T00:00:00.000Z</x:v>
      </x:c>
      <x:c r="B237" s="2" t="str">
        <x:v>D06</x:v>
      </x:c>
      <x:c r="C237" s="2" t="str">
        <x:v>P018</x:v>
      </x:c>
      <x:c r="D237" s="2" t="str">
        <x:v>WO-0927-06-01</x:v>
      </x:c>
      <x:c r="E237" s="2" t="n">
        <x:v>320</x:v>
      </x:c>
      <x:c r="F237" s="11" t="n">
        <x:v>0.2</x:v>
      </x:c>
      <x:c r="G237" s="11" t="n">
        <x:f>IF(F237="","",E237*F237)</x:f>
        <x:v>64</x:v>
      </x:c>
      <x:c r="H237" s="12" t="n">
        <x:f>IF(OR(G237="",'线体日汇总'!H83="",'线体日汇总'!H83=0),"",G237/'线体日汇总'!H83)</x:f>
        <x:v>0.6837606837606838</x:v>
      </x:c>
      <x:c r="I237" s="11" t="n">
        <x:f>IF(OR(H237="",'线体日汇总'!G83=""),"",H237*'线体日汇总'!G83)</x:f>
        <x:v>86.3999772079772</x:v>
      </x:c>
      <x:c r="J237" s="12" t="n">
        <x:f>IF(OR(G237="",G237=0,I237=""),"",(I237-G237)/G237)</x:f>
        <x:v>0.3499996438746438</x:v>
      </x:c>
      <x:c r="K237" s="2" t="n">
        <x:v>900</x:v>
      </x:c>
      <x:c r="L237" s="2" t="n">
        <x:v>4</x:v>
      </x:c>
      <x:c r="M237" s="12" t="n">
        <x:f>IF(OR(K237="",K237=0),"",L237/K237)</x:f>
        <x:v>0.0044444444444444444</x:v>
      </x:c>
      <x:c r="N237" s="13" t="str">
        <x:v>排期偏差异常；加班占比异常</x:v>
      </x:c>
      <x:c r="O237" s="2" t="str">
        <x:v>PP-0927</x:v>
      </x:c>
    </x:row>
    <x:row r="238" ht="36" customHeight="1">
      <x:c r="A238" s="10" t="d">
        <x:v>2026-09-27T00:00:00.000Z</x:v>
      </x:c>
      <x:c r="B238" s="2" t="str">
        <x:v>D06</x:v>
      </x:c>
      <x:c r="C238" s="2" t="str">
        <x:v>P019</x:v>
      </x:c>
      <x:c r="D238" s="2" t="str">
        <x:v>WO-0927-06-02</x:v>
      </x:c>
      <x:c r="E238" s="2" t="n">
        <x:v>280</x:v>
      </x:c>
      <x:c r="F238" s="11" t="n">
        <x:v>0.06</x:v>
      </x:c>
      <x:c r="G238" s="11" t="n">
        <x:f>IF(F238="","",E238*F238)</x:f>
        <x:v>16.8</x:v>
      </x:c>
      <x:c r="H238" s="12" t="n">
        <x:f>IF(OR(G238="",'线体日汇总'!H83="",'线体日汇总'!H83=0),"",G238/'线体日汇总'!H83)</x:f>
        <x:v>0.17948717948717952</x:v>
      </x:c>
      <x:c r="I238" s="11" t="n">
        <x:f>IF(OR(H238="",'线体日汇总'!G83=""),"",H238*'线体日汇总'!G83)</x:f>
        <x:v>22.67999401709402</x:v>
      </x:c>
      <x:c r="J238" s="12" t="n">
        <x:f>IF(OR(G238="",G238=0,I238=""),"",(I238-G238)/G238)</x:f>
        <x:v>0.34999964387464405</x:v>
      </x:c>
      <x:c r="K238" s="2" t="n">
        <x:v>830</x:v>
      </x:c>
      <x:c r="L238" s="2" t="n">
        <x:v>12</x:v>
      </x:c>
      <x:c r="M238" s="12" t="n">
        <x:f>IF(OR(K238="",K238=0),"",L238/K238)</x:f>
        <x:v>0.014457831325301205</x:v>
      </x:c>
      <x:c r="N238" s="13" t="str">
        <x:v>排期偏差异常；加班占比异常</x:v>
      </x:c>
      <x:c r="O238" s="2" t="str">
        <x:v>PP-0927</x:v>
      </x:c>
    </x:row>
    <x:row r="239" ht="36" customHeight="1">
      <x:c r="A239" s="10" t="d">
        <x:v>2026-09-27T00:00:00.000Z</x:v>
      </x:c>
      <x:c r="B239" s="2" t="str">
        <x:v>D06</x:v>
      </x:c>
      <x:c r="C239" s="2" t="str">
        <x:v>P020</x:v>
      </x:c>
      <x:c r="D239" s="2" t="str">
        <x:v>WO-0927-06-03</x:v>
      </x:c>
      <x:c r="E239" s="2" t="n">
        <x:v>160</x:v>
      </x:c>
      <x:c r="F239" s="11" t="n">
        <x:v>0.08</x:v>
      </x:c>
      <x:c r="G239" s="11" t="n">
        <x:f>IF(F239="","",E239*F239)</x:f>
        <x:v>12.8</x:v>
      </x:c>
      <x:c r="H239" s="12" t="n">
        <x:f>IF(OR(G239="",'线体日汇总'!H83="",'线体日汇总'!H83=0),"",G239/'线体日汇总'!H83)</x:f>
        <x:v>0.13675213675213677</x:v>
      </x:c>
      <x:c r="I239" s="11" t="n">
        <x:f>IF(OR(H239="",'线体日汇总'!G83=""),"",H239*'线体日汇总'!G83)</x:f>
        <x:v>17.279995441595442</x:v>
      </x:c>
      <x:c r="J239" s="12" t="n">
        <x:f>IF(OR(G239="",G239=0,I239=""),"",(I239-G239)/G239)</x:f>
        <x:v>0.3499996438746439</x:v>
      </x:c>
      <x:c r="K239" s="2" t="n">
        <x:v>1550</x:v>
      </x:c>
      <x:c r="L239" s="2" t="n">
        <x:v>7</x:v>
      </x:c>
      <x:c r="M239" s="12" t="n">
        <x:f>IF(OR(K239="",K239=0),"",L239/K239)</x:f>
        <x:v>0.004516129032258065</x:v>
      </x:c>
      <x:c r="N239" s="13" t="str">
        <x:v>排期偏差异常；加班占比异常</x:v>
      </x:c>
      <x:c r="O239" s="2" t="str">
        <x:v>PP-0927</x:v>
      </x:c>
    </x:row>
    <x:row r="240" ht="36" customHeight="1">
      <x:c r="A240" s="10" t="d">
        <x:v>2026-09-27T00:00:00.000Z</x:v>
      </x:c>
      <x:c r="B240" s="2" t="str">
        <x:v>D07</x:v>
      </x:c>
      <x:c r="C240" s="2" t="str">
        <x:v>P020</x:v>
      </x:c>
      <x:c r="D240" s="2" t="str">
        <x:v>WO-0927-07-01</x:v>
      </x:c>
      <x:c r="E240" s="2" t="n">
        <x:v>260</x:v>
      </x:c>
      <x:c r="F240" s="11" t="n">
        <x:v>0.08</x:v>
      </x:c>
      <x:c r="G240" s="11" t="n">
        <x:f>IF(F240="","",E240*F240)</x:f>
        <x:v>20.8</x:v>
      </x:c>
      <x:c r="H240" s="12" t="n">
        <x:f>IF(OR(G240="",'线体日汇总'!H84="",'线体日汇总'!H84=0),"",G240/'线体日汇总'!H84)</x:f>
        <x:v>0.31325301204819284</x:v>
      </x:c>
      <x:c r="I240" s="11" t="n">
        <x:f>IF(OR(H240="",'线体日汇总'!G84=""),"",H240*'线体日汇总'!G84)</x:f>
        <x:v>14.560010441767071</x:v>
      </x:c>
      <x:c r="J240" s="12" t="n">
        <x:f>IF(OR(G240="",G240=0,I240=""),"",(I240-G240)/G240)</x:f>
        <x:v>-0.2999994979919678</x:v>
      </x:c>
      <x:c r="K240" s="2" t="n">
        <x:v>1250</x:v>
      </x:c>
      <x:c r="L240" s="2" t="n">
        <x:v>15</x:v>
      </x:c>
      <x:c r="M240" s="12" t="n">
        <x:f>IF(OR(K240="",K240=0),"",L240/K240)</x:f>
        <x:v>0.012</x:v>
      </x:c>
      <x:c r="N240" s="13" t="str">
        <x:v>排期偏差异常</x:v>
      </x:c>
      <x:c r="O240" s="2" t="str">
        <x:v>PP-0927</x:v>
      </x:c>
    </x:row>
    <x:row r="241" ht="36" customHeight="1">
      <x:c r="A241" s="10" t="d">
        <x:v>2026-09-27T00:00:00.000Z</x:v>
      </x:c>
      <x:c r="B241" s="2" t="str">
        <x:v>D07</x:v>
      </x:c>
      <x:c r="C241" s="2" t="str">
        <x:v>P021</x:v>
      </x:c>
      <x:c r="D241" s="2" t="str">
        <x:v>WO-0927-07-02</x:v>
      </x:c>
      <x:c r="E241" s="2" t="n">
        <x:v>160</x:v>
      </x:c>
      <x:c r="F241" s="11" t="n">
        <x:v>0.075</x:v>
      </x:c>
      <x:c r="G241" s="11" t="n">
        <x:f>IF(F241="","",E241*F241)</x:f>
        <x:v>12</x:v>
      </x:c>
      <x:c r="H241" s="12" t="n">
        <x:f>IF(OR(G241="",'线体日汇总'!H84="",'线体日汇总'!H84=0),"",G241/'线体日汇总'!H84)</x:f>
        <x:v>0.1807228915662651</x:v>
      </x:c>
      <x:c r="I241" s="11" t="n">
        <x:f>IF(OR(H241="",'线体日汇总'!G84=""),"",H241*'线体日汇总'!G84)</x:f>
        <x:v>8.400006024096387</x:v>
      </x:c>
      <x:c r="J241" s="12" t="n">
        <x:f>IF(OR(G241="",G241=0,I241=""),"",(I241-G241)/G241)</x:f>
        <x:v>-0.2999994979919678</x:v>
      </x:c>
      <x:c r="K241" s="2" t="n">
        <x:v>1460</x:v>
      </x:c>
      <x:c r="L241" s="2" t="n">
        <x:v>8</x:v>
      </x:c>
      <x:c r="M241" s="12" t="n">
        <x:f>IF(OR(K241="",K241=0),"",L241/K241)</x:f>
        <x:v>0.005479452054794521</x:v>
      </x:c>
      <x:c r="N241" s="13" t="str">
        <x:v>排期偏差异常</x:v>
      </x:c>
      <x:c r="O241" s="2" t="str">
        <x:v>PP-0927</x:v>
      </x:c>
    </x:row>
    <x:row r="242" ht="36" customHeight="1">
      <x:c r="A242" s="10" t="d">
        <x:v>2026-09-27T00:00:00.000Z</x:v>
      </x:c>
      <x:c r="B242" s="2" t="str">
        <x:v>D07</x:v>
      </x:c>
      <x:c r="C242" s="2" t="str">
        <x:v>P022</x:v>
      </x:c>
      <x:c r="D242" s="2" t="str">
        <x:v>WO-0927-07-03</x:v>
      </x:c>
      <x:c r="E242" s="2" t="n">
        <x:v>280</x:v>
      </x:c>
      <x:c r="F242" s="11" t="n">
        <x:v>0.11999999999999998</x:v>
      </x:c>
      <x:c r="G242" s="11" t="n">
        <x:f>IF(F242="","",E242*F242)</x:f>
        <x:v>33.599999999999994</x:v>
      </x:c>
      <x:c r="H242" s="12" t="n">
        <x:f>IF(OR(G242="",'线体日汇总'!H84="",'线体日汇总'!H84=0),"",G242/'线体日汇总'!H84)</x:f>
        <x:v>0.5060240963855421</x:v>
      </x:c>
      <x:c r="I242" s="11" t="n">
        <x:f>IF(OR(H242="",'线体日汇总'!G84=""),"",H242*'线体日汇总'!G84)</x:f>
        <x:v>23.520016867469877</x:v>
      </x:c>
      <x:c r="J242" s="12" t="n">
        <x:f>IF(OR(G242="",G242=0,I242=""),"",(I242-G242)/G242)</x:f>
        <x:v>-0.29999949799196785</x:v>
      </x:c>
      <x:c r="K242" s="2" t="n">
        <x:v>1030</x:v>
      </x:c>
      <x:c r="L242" s="2" t="n">
        <x:v>9</x:v>
      </x:c>
      <x:c r="M242" s="12" t="n">
        <x:f>IF(OR(K242="",K242=0),"",L242/K242)</x:f>
        <x:v>0.008737864077669903</x:v>
      </x:c>
      <x:c r="N242" s="13" t="str">
        <x:v>排期偏差异常</x:v>
      </x:c>
      <x:c r="O242" s="2" t="str">
        <x:v>PP-0927</x:v>
      </x:c>
    </x:row>
    <x:row r="243" ht="36" customHeight="1">
      <x:c r="A243" s="10" t="d">
        <x:v>2026-09-27T00:00:00.000Z</x:v>
      </x:c>
      <x:c r="B243" s="2" t="str">
        <x:v>D08</x:v>
      </x:c>
      <x:c r="C243" s="2" t="str">
        <x:v>P022</x:v>
      </x:c>
      <x:c r="D243" s="2" t="str">
        <x:v>WO-0927-08-01</x:v>
      </x:c>
      <x:c r="E243" s="2" t="n">
        <x:v>420</x:v>
      </x:c>
      <x:c r="F243" s="11" t="n">
        <x:v>0.11999999999999998</x:v>
      </x:c>
      <x:c r="G243" s="11" t="n">
        <x:f>IF(F243="","",E243*F243)</x:f>
        <x:v>50.39999999999999</x:v>
      </x:c>
      <x:c r="H243" s="12" t="n">
        <x:f>IF(OR(G243="",'线体日汇总'!H85="",'线体日汇总'!H85=0),"",G243/'线体日汇总'!H85)</x:f>
        <x:v>0.3539325842696629</x:v>
      </x:c>
      <x:c r="I243" s="11" t="n">
        <x:f>IF(OR(H243="",'线体日汇总'!G85=""),"",H243*'线体日汇总'!G85)</x:f>
        <x:v>47.88001179775281</x:v>
      </x:c>
      <x:c r="J243" s="12" t="n">
        <x:f>IF(OR(G243="",G243=0,I243=""),"",(I243-G243)/G243)</x:f>
        <x:v>-0.04999976591760286</x:v>
      </x:c>
      <x:c r="K243" s="2" t="n">
        <x:v>990</x:v>
      </x:c>
      <x:c r="L243" s="2" t="n">
        <x:v>8</x:v>
      </x:c>
      <x:c r="M243" s="12" t="n">
        <x:f>IF(OR(K243="",K243=0),"",L243/K243)</x:f>
        <x:v>0.00808080808080808</x:v>
      </x:c>
      <x:c r="N243" s="13" t="str">
        <x:v>正常</x:v>
      </x:c>
      <x:c r="O243" s="2" t="str">
        <x:v>PC-047</x:v>
      </x:c>
    </x:row>
    <x:row r="244" ht="36" customHeight="1">
      <x:c r="A244" s="10" t="d">
        <x:v>2026-09-27T00:00:00.000Z</x:v>
      </x:c>
      <x:c r="B244" s="2" t="str">
        <x:v>D08</x:v>
      </x:c>
      <x:c r="C244" s="2" t="str">
        <x:v>P023</x:v>
      </x:c>
      <x:c r="D244" s="2" t="str">
        <x:v>WO-0927-08-02</x:v>
      </x:c>
      <x:c r="E244" s="2" t="n">
        <x:v>160</x:v>
      </x:c>
      <x:c r="F244" s="11" t="n">
        <x:v>0.15</x:v>
      </x:c>
      <x:c r="G244" s="11" t="n">
        <x:f>IF(F244="","",E244*F244)</x:f>
        <x:v>24</x:v>
      </x:c>
      <x:c r="H244" s="12" t="n">
        <x:f>IF(OR(G244="",'线体日汇总'!H85="",'线体日汇总'!H85=0),"",G244/'线体日汇总'!H85)</x:f>
        <x:v>0.16853932584269665</x:v>
      </x:c>
      <x:c r="I244" s="11" t="n">
        <x:f>IF(OR(H244="",'线体日汇总'!G85=""),"",H244*'线体日汇总'!G85)</x:f>
        <x:v>22.800005617977533</x:v>
      </x:c>
      <x:c r="J244" s="12" t="n">
        <x:f>IF(OR(G244="",G244=0,I244=""),"",(I244-G244)/G244)</x:f>
        <x:v>-0.0499997659176028</x:v>
      </x:c>
      <x:c r="K244" s="2" t="n">
        <x:v>870</x:v>
      </x:c>
      <x:c r="L244" s="2" t="n">
        <x:v>11</x:v>
      </x:c>
      <x:c r="M244" s="12" t="n">
        <x:f>IF(OR(K244="",K244=0),"",L244/K244)</x:f>
        <x:v>0.01264367816091954</x:v>
      </x:c>
      <x:c r="N244" s="13" t="str">
        <x:v>正常</x:v>
      </x:c>
      <x:c r="O244" s="2" t="str">
        <x:v>PP-0927</x:v>
      </x:c>
    </x:row>
    <x:row r="245" ht="36" customHeight="1">
      <x:c r="A245" s="10" t="d">
        <x:v>2026-09-27T00:00:00.000Z</x:v>
      </x:c>
      <x:c r="B245" s="2" t="str">
        <x:v>D08</x:v>
      </x:c>
      <x:c r="C245" s="2" t="str">
        <x:v>P024</x:v>
      </x:c>
      <x:c r="D245" s="2" t="str">
        <x:v>WO-0927-08-03</x:v>
      </x:c>
      <x:c r="E245" s="2" t="n">
        <x:v>340</x:v>
      </x:c>
      <x:c r="F245" s="11" t="n">
        <x:v>0.2</x:v>
      </x:c>
      <x:c r="G245" s="11" t="n">
        <x:f>IF(F245="","",E245*F245)</x:f>
        <x:v>68</x:v>
      </x:c>
      <x:c r="H245" s="12" t="n">
        <x:f>IF(OR(G245="",'线体日汇总'!H85="",'线体日汇总'!H85=0),"",G245/'线体日汇总'!H85)</x:f>
        <x:v>0.4775280898876405</x:v>
      </x:c>
      <x:c r="I245" s="11" t="n">
        <x:f>IF(OR(H245="",'线体日汇总'!G85=""),"",H245*'线体日汇总'!G85)</x:f>
        <x:v>64.600015917603</x:v>
      </x:c>
      <x:c r="J245" s="12" t="n">
        <x:f>IF(OR(G245="",G245=0,I245=""),"",(I245-G245)/G245)</x:f>
        <x:v>-0.049999765917602905</x:v>
      </x:c>
      <x:c r="K245" s="2" t="n">
        <x:v>1370</x:v>
      </x:c>
      <x:c r="L245" s="2" t="n">
        <x:v>12</x:v>
      </x:c>
      <x:c r="M245" s="12" t="n">
        <x:f>IF(OR(K245="",K245=0),"",L245/K245)</x:f>
        <x:v>0.008759124087591242</x:v>
      </x:c>
      <x:c r="N245" s="13" t="str">
        <x:v>正常</x:v>
      </x:c>
      <x:c r="O245" s="2" t="str">
        <x:v>PP-0927</x:v>
      </x:c>
    </x:row>
    <x:row r="246" ht="36" customHeight="1">
      <x:c r="A246" s="10" t="d">
        <x:v>2026-09-27T00:00:00.000Z</x:v>
      </x:c>
      <x:c r="B246" s="2" t="str">
        <x:v>D09</x:v>
      </x:c>
      <x:c r="C246" s="2" t="str">
        <x:v>P024</x:v>
      </x:c>
      <x:c r="D246" s="2" t="str">
        <x:v>WO-0927-09-01</x:v>
      </x:c>
      <x:c r="E246" s="2" t="n">
        <x:v>220</x:v>
      </x:c>
      <x:c r="F246" s="11" t="n">
        <x:v>0.2</x:v>
      </x:c>
      <x:c r="G246" s="11" t="n">
        <x:f>IF(F246="","",E246*F246)</x:f>
        <x:v>44</x:v>
      </x:c>
      <x:c r="H246" s="12" t="n">
        <x:f>IF(OR(G246="",'线体日汇总'!H86="",'线体日汇总'!H86=0),"",G246/'线体日汇总'!H86)</x:f>
        <x:v>0.5288461538461539</x:v>
      </x:c>
      <x:c r="I246" s="11" t="n">
        <x:f>IF(OR(H246="",'线体日汇总'!G86=""),"",H246*'线体日汇总'!G86)</x:f>
        <x:v>46.20001762820513</x:v>
      </x:c>
      <x:c r="J246" s="12" t="n">
        <x:f>IF(OR(G246="",G246=0,I246=""),"",(I246-G246)/G246)</x:f>
        <x:v>0.05000040064102571</x:v>
      </x:c>
      <x:c r="K246" s="2" t="n">
        <x:v>670</x:v>
      </x:c>
      <x:c r="L246" s="2" t="n">
        <x:v>7</x:v>
      </x:c>
      <x:c r="M246" s="12" t="n">
        <x:f>IF(OR(K246="",K246=0),"",L246/K246)</x:f>
        <x:v>0.010447761194029851</x:v>
      </x:c>
      <x:c r="N246" s="13" t="str">
        <x:v>加班占比异常</x:v>
      </x:c>
      <x:c r="O246" s="2" t="str">
        <x:v>PP-0927</x:v>
      </x:c>
    </x:row>
    <x:row r="247" ht="36" customHeight="1">
      <x:c r="A247" s="10" t="d">
        <x:v>2026-09-27T00:00:00.000Z</x:v>
      </x:c>
      <x:c r="B247" s="2" t="str">
        <x:v>D09</x:v>
      </x:c>
      <x:c r="C247" s="2" t="str">
        <x:v>P025</x:v>
      </x:c>
      <x:c r="D247" s="2" t="str">
        <x:v>WO-0927-09-02</x:v>
      </x:c>
      <x:c r="E247" s="2" t="n">
        <x:v>280</x:v>
      </x:c>
      <x:c r="F247" s="11" t="n">
        <x:v>0.06</x:v>
      </x:c>
      <x:c r="G247" s="11" t="n">
        <x:f>IF(F247="","",E247*F247)</x:f>
        <x:v>16.8</x:v>
      </x:c>
      <x:c r="H247" s="12" t="n">
        <x:f>IF(OR(G247="",'线体日汇总'!H86="",'线体日汇总'!H86=0),"",G247/'线体日汇总'!H86)</x:f>
        <x:v>0.20192307692307693</x:v>
      </x:c>
      <x:c r="I247" s="11" t="n">
        <x:f>IF(OR(H247="",'线体日汇总'!G86=""),"",H247*'线体日汇总'!G86)</x:f>
        <x:v>17.64000673076923</x:v>
      </x:c>
      <x:c r="J247" s="12" t="n">
        <x:f>IF(OR(G247="",G247=0,I247=""),"",(I247-G247)/G247)</x:f>
        <x:v>0.05000040064102553</x:v>
      </x:c>
      <x:c r="K247" s="2" t="n">
        <x:v>1040</x:v>
      </x:c>
      <x:c r="L247" s="2" t="n">
        <x:v>10</x:v>
      </x:c>
      <x:c r="M247" s="12" t="n">
        <x:f>IF(OR(K247="",K247=0),"",L247/K247)</x:f>
        <x:v>0.009615384615384616</x:v>
      </x:c>
      <x:c r="N247" s="13" t="str">
        <x:v>加班占比异常</x:v>
      </x:c>
      <x:c r="O247" s="2" t="str">
        <x:v>PP-0927</x:v>
      </x:c>
    </x:row>
    <x:row r="248" ht="36" customHeight="1">
      <x:c r="A248" s="10" t="d">
        <x:v>2026-09-27T00:00:00.000Z</x:v>
      </x:c>
      <x:c r="B248" s="2" t="str">
        <x:v>D09</x:v>
      </x:c>
      <x:c r="C248" s="2" t="str">
        <x:v>P026</x:v>
      </x:c>
      <x:c r="D248" s="2" t="str">
        <x:v>WO-0927-09-03</x:v>
      </x:c>
      <x:c r="E248" s="2" t="n">
        <x:v>280</x:v>
      </x:c>
      <x:c r="F248" s="11" t="n">
        <x:v>0.08</x:v>
      </x:c>
      <x:c r="G248" s="11" t="n">
        <x:f>IF(F248="","",E248*F248)</x:f>
        <x:v>22.400000000000002</x:v>
      </x:c>
      <x:c r="H248" s="12" t="n">
        <x:f>IF(OR(G248="",'线体日汇总'!H86="",'线体日汇总'!H86=0),"",G248/'线体日汇总'!H86)</x:f>
        <x:v>0.2692307692307693</x:v>
      </x:c>
      <x:c r="I248" s="11" t="n">
        <x:f>IF(OR(H248="",'线体日汇总'!G86=""),"",H248*'线体日汇总'!G86)</x:f>
        <x:v>23.52000897435898</x:v>
      </x:c>
      <x:c r="J248" s="12" t="n">
        <x:f>IF(OR(G248="",G248=0,I248=""),"",(I248-G248)/G248)</x:f>
        <x:v>0.05000040064102579</x:v>
      </x:c>
      <x:c r="K248" s="2" t="n">
        <x:v>1090</x:v>
      </x:c>
      <x:c r="L248" s="2" t="n">
        <x:v>6</x:v>
      </x:c>
      <x:c r="M248" s="12" t="n">
        <x:f>IF(OR(K248="",K248=0),"",L248/K248)</x:f>
        <x:v>0.005504587155963303</x:v>
      </x:c>
      <x:c r="N248" s="13" t="str">
        <x:v>加班占比异常</x:v>
      </x:c>
      <x:c r="O248" s="2" t="str">
        <x:v>PP-0927</x:v>
      </x:c>
    </x:row>
    <x:row r="249" ht="36" customHeight="1">
      <x:c r="A249" s="10" t="d">
        <x:v>2026-09-27T00:00:00.000Z</x:v>
      </x:c>
      <x:c r="B249" s="2" t="str">
        <x:v>D10</x:v>
      </x:c>
      <x:c r="C249" s="2" t="str">
        <x:v>P026</x:v>
      </x:c>
      <x:c r="D249" s="2" t="str">
        <x:v>WO-0927-10-01</x:v>
      </x:c>
      <x:c r="E249" s="2" t="n">
        <x:v>260</x:v>
      </x:c>
      <x:c r="F249" s="11" t="n">
        <x:v>0.08</x:v>
      </x:c>
      <x:c r="G249" s="11" t="n">
        <x:f>IF(F249="","",E249*F249)</x:f>
        <x:v>20.8</x:v>
      </x:c>
      <x:c r="H249" s="12" t="n">
        <x:f>IF(OR(G249="",'线体日汇总'!H87="",'线体日汇总'!H87=0),"",G249/'线体日汇总'!H87)</x:f>
        <x:v>0.3076923076923077</x:v>
      </x:c>
      <x:c r="I249" s="11" t="n">
        <x:f>IF(OR(H249="",'线体日汇总'!G87=""),"",H249*'线体日汇总'!G87)</x:f>
        <x:v>23.920010256410258</x:v>
      </x:c>
      <x:c r="J249" s="12" t="n">
        <x:f>IF(OR(G249="",G249=0,I249=""),"",(I249-G249)/G249)</x:f>
        <x:v>0.15000049309664698</x:v>
      </x:c>
      <x:c r="K249" s="2" t="n">
        <x:v>810</x:v>
      </x:c>
      <x:c r="L249" s="2" t="n">
        <x:v>6</x:v>
      </x:c>
      <x:c r="M249" s="12" t="n">
        <x:f>IF(OR(K249="",K249=0),"",L249/K249)</x:f>
        <x:v>0.007407407407407408</x:v>
      </x:c>
      <x:c r="N249" s="13" t="str">
        <x:v>正常</x:v>
      </x:c>
      <x:c r="O249" s="2" t="str">
        <x:v>PP-0927</x:v>
      </x:c>
    </x:row>
    <x:row r="250" ht="36" customHeight="1">
      <x:c r="A250" s="10" t="d">
        <x:v>2026-09-27T00:00:00.000Z</x:v>
      </x:c>
      <x:c r="B250" s="2" t="str">
        <x:v>D10</x:v>
      </x:c>
      <x:c r="C250" s="2" t="str">
        <x:v>P027</x:v>
      </x:c>
      <x:c r="D250" s="2" t="str">
        <x:v>WO-0927-10-02</x:v>
      </x:c>
      <x:c r="E250" s="2" t="n">
        <x:v>180</x:v>
      </x:c>
      <x:c r="F250" s="11" t="n">
        <x:v>0.1</x:v>
      </x:c>
      <x:c r="G250" s="11" t="n">
        <x:f>IF(F250="","",E250*F250)</x:f>
        <x:v>18</x:v>
      </x:c>
      <x:c r="H250" s="12" t="n">
        <x:f>IF(OR(G250="",'线体日汇总'!H87="",'线体日汇总'!H87=0),"",G250/'线体日汇总'!H87)</x:f>
        <x:v>0.26627218934911245</x:v>
      </x:c>
      <x:c r="I250" s="11" t="n">
        <x:f>IF(OR(H250="",'线体日汇总'!G87=""),"",H250*'线体日汇总'!G87)</x:f>
        <x:v>20.700008875739645</x:v>
      </x:c>
      <x:c r="J250" s="12" t="n">
        <x:f>IF(OR(G250="",G250=0,I250=""),"",(I250-G250)/G250)</x:f>
        <x:v>0.15000049309664693</x:v>
      </x:c>
      <x:c r="K250" s="2" t="n">
        <x:v>880</x:v>
      </x:c>
      <x:c r="L250" s="2" t="n">
        <x:v>7</x:v>
      </x:c>
      <x:c r="M250" s="12" t="n">
        <x:f>IF(OR(K250="",K250=0),"",L250/K250)</x:f>
        <x:v>0.007954545454545454</x:v>
      </x:c>
      <x:c r="N250" s="13" t="str">
        <x:v>正常</x:v>
      </x:c>
      <x:c r="O250" s="2" t="str">
        <x:v>PP-0927</x:v>
      </x:c>
    </x:row>
    <x:row r="251" ht="36" customHeight="1">
      <x:c r="A251" s="10" t="d">
        <x:v>2026-09-27T00:00:00.000Z</x:v>
      </x:c>
      <x:c r="B251" s="2" t="str">
        <x:v>D10</x:v>
      </x:c>
      <x:c r="C251" s="2" t="str">
        <x:v>P028</x:v>
      </x:c>
      <x:c r="D251" s="2" t="str">
        <x:v>WO-0927-10-03</x:v>
      </x:c>
      <x:c r="E251" s="2" t="n">
        <x:v>320</x:v>
      </x:c>
      <x:c r="F251" s="11" t="n">
        <x:v>0.09000000000000001</x:v>
      </x:c>
      <x:c r="G251" s="11" t="n">
        <x:f>IF(F251="","",E251*F251)</x:f>
        <x:v>28.800000000000004</x:v>
      </x:c>
      <x:c r="H251" s="12" t="n">
        <x:f>IF(OR(G251="",'线体日汇总'!H87="",'线体日汇总'!H87=0),"",G251/'线体日汇总'!H87)</x:f>
        <x:v>0.42603550295858</x:v>
      </x:c>
      <x:c r="I251" s="11" t="n">
        <x:f>IF(OR(H251="",'线体日汇总'!G87=""),"",H251*'线体日汇总'!G87)</x:f>
        <x:v>33.12001420118344</x:v>
      </x:c>
      <x:c r="J251" s="12" t="n">
        <x:f>IF(OR(G251="",G251=0,I251=""),"",(I251-G251)/G251)</x:f>
        <x:v>0.15000049309664695</x:v>
      </x:c>
      <x:c r="K251" s="2" t="n">
        <x:v>1270</x:v>
      </x:c>
      <x:c r="L251" s="2" t="n">
        <x:v>6</x:v>
      </x:c>
      <x:c r="M251" s="12" t="n">
        <x:f>IF(OR(K251="",K251=0),"",L251/K251)</x:f>
        <x:v>0.004724409448818898</x:v>
      </x:c>
      <x:c r="N251" s="13" t="str">
        <x:v>正常</x:v>
      </x:c>
      <x:c r="O251" s="2" t="str">
        <x:v>PP-0927</x:v>
      </x:c>
    </x:row>
    <x:row r="252" ht="36" customHeight="1">
      <x:c r="A252" s="10" t="d">
        <x:v>2026-09-27T00:00:00.000Z</x:v>
      </x:c>
      <x:c r="B252" s="2" t="str">
        <x:v>D11</x:v>
      </x:c>
      <x:c r="C252" s="2" t="str">
        <x:v>P028</x:v>
      </x:c>
      <x:c r="D252" s="2" t="str">
        <x:v>WO-0927-11-01R</x:v>
      </x:c>
      <x:c r="E252" s="2" t="n">
        <x:v>180</x:v>
      </x:c>
      <x:c r="F252" s="11" t="n">
        <x:v>0.09000000000000001</x:v>
      </x:c>
      <x:c r="G252" s="11" t="n">
        <x:f>IF(F252="","",E252*F252)</x:f>
        <x:v>16.200000000000003</x:v>
      </x:c>
      <x:c r="H252" s="12" t="n">
        <x:f>IF(OR(G252="",'线体日汇总'!H88="",'线体日汇总'!H88=0),"",G252/'线体日汇总'!H88)</x:f>
        <x:v>0.2307692307692308</x:v>
      </x:c>
      <x:c r="I252" s="11" t="n">
        <x:f>IF(OR(H252="",'线体日汇总'!G88=""),"",H252*'线体日汇总'!G88)</x:f>
        <x:v>19.44</x:v>
      </x:c>
      <x:c r="J252" s="12" t="n">
        <x:f>IF(OR(G252="",G252=0,I252=""),"",(I252-G252)/G252)</x:f>
        <x:v>0.19999999999999987</x:v>
      </x:c>
      <x:c r="K252" s="2" t="n">
        <x:v>1000</x:v>
      </x:c>
      <x:c r="L252" s="2" t="n">
        <x:v>6</x:v>
      </x:c>
      <x:c r="M252" s="12" t="n">
        <x:f>IF(OR(K252="",K252=0),"",L252/K252)</x:f>
        <x:v>0.006</x:v>
      </x:c>
      <x:c r="N252" s="13" t="str">
        <x:v>正常</x:v>
      </x:c>
      <x:c r="O252" s="2" t="str">
        <x:v>PC-050</x:v>
      </x:c>
    </x:row>
    <x:row r="253" ht="36" customHeight="1">
      <x:c r="A253" s="10" t="d">
        <x:v>2026-09-27T00:00:00.000Z</x:v>
      </x:c>
      <x:c r="B253" s="2" t="str">
        <x:v>D11</x:v>
      </x:c>
      <x:c r="C253" s="2" t="str">
        <x:v>P029</x:v>
      </x:c>
      <x:c r="D253" s="2" t="str">
        <x:v>WO-0927-11-02</x:v>
      </x:c>
      <x:c r="E253" s="2" t="n">
        <x:v>120</x:v>
      </x:c>
      <x:c r="F253" s="11" t="n">
        <x:v>0.15</x:v>
      </x:c>
      <x:c r="G253" s="11" t="n">
        <x:f>IF(F253="","",E253*F253)</x:f>
        <x:v>18</x:v>
      </x:c>
      <x:c r="H253" s="12" t="n">
        <x:f>IF(OR(G253="",'线体日汇总'!H88="",'线体日汇总'!H88=0),"",G253/'线体日汇总'!H88)</x:f>
        <x:v>0.2564102564102564</x:v>
      </x:c>
      <x:c r="I253" s="11" t="n">
        <x:f>IF(OR(H253="",'线体日汇总'!G88=""),"",H253*'线体日汇总'!G88)</x:f>
        <x:v>21.599999999999998</x:v>
      </x:c>
      <x:c r="J253" s="12" t="n">
        <x:f>IF(OR(G253="",G253=0,I253=""),"",(I253-G253)/G253)</x:f>
        <x:v>0.19999999999999987</x:v>
      </x:c>
      <x:c r="K253" s="2" t="n">
        <x:v>1230</x:v>
      </x:c>
      <x:c r="L253" s="2" t="n">
        <x:v>1</x:v>
      </x:c>
      <x:c r="M253" s="12" t="n">
        <x:f>IF(OR(K253="",K253=0),"",L253/K253)</x:f>
        <x:v>0.0008130081300813008</x:v>
      </x:c>
      <x:c r="N253" s="13" t="str">
        <x:v>正常</x:v>
      </x:c>
      <x:c r="O253" s="2" t="str">
        <x:v>PP-0927</x:v>
      </x:c>
    </x:row>
    <x:row r="254" ht="36" customHeight="1">
      <x:c r="A254" s="10" t="d">
        <x:v>2026-09-27T00:00:00.000Z</x:v>
      </x:c>
      <x:c r="B254" s="2" t="str">
        <x:v>D11</x:v>
      </x:c>
      <x:c r="C254" s="2" t="str">
        <x:v>P030</x:v>
      </x:c>
      <x:c r="D254" s="2" t="str">
        <x:v>WO-0927-11-03</x:v>
      </x:c>
      <x:c r="E254" s="2" t="n">
        <x:v>180</x:v>
      </x:c>
      <x:c r="F254" s="11" t="n">
        <x:v>0.2</x:v>
      </x:c>
      <x:c r="G254" s="11" t="n">
        <x:f>IF(F254="","",E254*F254)</x:f>
        <x:v>36</x:v>
      </x:c>
      <x:c r="H254" s="12" t="n">
        <x:f>IF(OR(G254="",'线体日汇总'!H88="",'线体日汇总'!H88=0),"",G254/'线体日汇总'!H88)</x:f>
        <x:v>0.5128205128205128</x:v>
      </x:c>
      <x:c r="I254" s="11" t="n">
        <x:f>IF(OR(H254="",'线体日汇总'!G88=""),"",H254*'线体日汇总'!G88)</x:f>
        <x:v>43.199999999999996</x:v>
      </x:c>
      <x:c r="J254" s="12" t="n">
        <x:f>IF(OR(G254="",G254=0,I254=""),"",(I254-G254)/G254)</x:f>
        <x:v>0.19999999999999987</x:v>
      </x:c>
      <x:c r="K254" s="2" t="n">
        <x:v>840</x:v>
      </x:c>
      <x:c r="L254" s="2" t="n">
        <x:v>9</x:v>
      </x:c>
      <x:c r="M254" s="12" t="n">
        <x:f>IF(OR(K254="",K254=0),"",L254/K254)</x:f>
        <x:v>0.010714285714285714</x:v>
      </x:c>
      <x:c r="N254" s="13" t="str">
        <x:v>正常</x:v>
      </x:c>
      <x:c r="O254" s="2" t="str">
        <x:v>PP-0927</x:v>
      </x:c>
    </x:row>
    <x:row r="255" ht="36" customHeight="1">
      <x:c r="A255" s="10" t="d">
        <x:v>2026-09-27T00:00:00.000Z</x:v>
      </x:c>
      <x:c r="B255" s="2" t="str">
        <x:v>D12</x:v>
      </x:c>
      <x:c r="C255" s="2" t="str">
        <x:v>P030</x:v>
      </x:c>
      <x:c r="D255" s="2" t="str">
        <x:v>WO-0927-12-01</x:v>
      </x:c>
      <x:c r="E255" s="2" t="n">
        <x:v>0</x:v>
      </x:c>
      <x:c r="F255" s="11" t="n">
        <x:v>0.2</x:v>
      </x:c>
      <x:c r="G255" s="11" t="n">
        <x:f>IF(F255="","",E255*F255)</x:f>
        <x:v>0</x:v>
      </x:c>
      <x:c r="H255" s="12" t="str">
        <x:f>IF(OR(G255="",'线体日汇总'!H89="",'线体日汇总'!H89=0),"",G255/'线体日汇总'!H89)</x:f>
      </x:c>
      <x:c r="I255" s="11" t="str">
        <x:f>IF(OR(H255="",'线体日汇总'!G89=""),"",H255*'线体日汇总'!G89)</x:f>
      </x:c>
      <x:c r="J255" s="12" t="str">
        <x:f>IF(OR(G255="",G255=0,I255=""),"",(I255-G255)/G255)</x:f>
      </x:c>
      <x:c r="K255" s="2" t="n">
        <x:v>1200</x:v>
      </x:c>
      <x:c r="L255" s="2" t="n">
        <x:v>71</x:v>
      </x:c>
      <x:c r="M255" s="12" t="n">
        <x:f>IF(OR(K255="",K255=0),"",L255/K255)</x:f>
        <x:v>0.059166666666666666</x:v>
      </x:c>
      <x:c r="N255" s="13" t="str">
        <x:v>计划工时基数为零；加班占比异常；质量异常</x:v>
      </x:c>
      <x:c r="O255" s="2" t="str">
        <x:v>PP-0927</x:v>
      </x:c>
    </x:row>
    <x:row r="256" ht="36" customHeight="1">
      <x:c r="A256" s="10" t="d">
        <x:v>2026-09-27T00:00:00.000Z</x:v>
      </x:c>
      <x:c r="B256" s="2" t="str">
        <x:v>D12</x:v>
      </x:c>
      <x:c r="C256" s="2" t="str">
        <x:v>P031</x:v>
      </x:c>
      <x:c r="D256" s="2" t="str">
        <x:v>WO-0927-12-02</x:v>
      </x:c>
      <x:c r="E256" s="2" t="n">
        <x:v>0</x:v>
      </x:c>
      <x:c r="F256" s="11" t="n">
        <x:v>0.06</x:v>
      </x:c>
      <x:c r="G256" s="11" t="n">
        <x:f>IF(F256="","",E256*F256)</x:f>
        <x:v>0</x:v>
      </x:c>
      <x:c r="H256" s="12" t="str">
        <x:f>IF(OR(G256="",'线体日汇总'!H89="",'线体日汇总'!H89=0),"",G256/'线体日汇总'!H89)</x:f>
      </x:c>
      <x:c r="I256" s="11" t="str">
        <x:f>IF(OR(H256="",'线体日汇总'!G89=""),"",H256*'线体日汇总'!G89)</x:f>
      </x:c>
      <x:c r="J256" s="12" t="str">
        <x:f>IF(OR(G256="",G256=0,I256=""),"",(I256-G256)/G256)</x:f>
      </x:c>
      <x:c r="K256" s="2" t="n">
        <x:v>1420</x:v>
      </x:c>
      <x:c r="L256" s="2" t="n">
        <x:v>7</x:v>
      </x:c>
      <x:c r="M256" s="12" t="n">
        <x:f>IF(OR(K256="",K256=0),"",L256/K256)</x:f>
        <x:v>0.004929577464788733</x:v>
      </x:c>
      <x:c r="N256" s="13" t="str">
        <x:v>计划工时基数为零；加班占比异常</x:v>
      </x:c>
      <x:c r="O256" s="2" t="str">
        <x:v>PP-0927</x:v>
      </x:c>
    </x:row>
    <x:row r="257" ht="36" customHeight="1">
      <x:c r="A257" s="10" t="d">
        <x:v>2026-09-27T00:00:00.000Z</x:v>
      </x:c>
      <x:c r="B257" s="2" t="str">
        <x:v>D12</x:v>
      </x:c>
      <x:c r="C257" s="2" t="str">
        <x:v>P032</x:v>
      </x:c>
      <x:c r="D257" s="2" t="str">
        <x:v>WO-0927-12-03</x:v>
      </x:c>
      <x:c r="E257" s="2" t="n">
        <x:v>0</x:v>
      </x:c>
      <x:c r="F257" s="11" t="n">
        <x:v>0.08</x:v>
      </x:c>
      <x:c r="G257" s="11" t="n">
        <x:f>IF(F257="","",E257*F257)</x:f>
        <x:v>0</x:v>
      </x:c>
      <x:c r="H257" s="12" t="str">
        <x:f>IF(OR(G257="",'线体日汇总'!H89="",'线体日汇总'!H89=0),"",G257/'线体日汇总'!H89)</x:f>
      </x:c>
      <x:c r="I257" s="11" t="str">
        <x:f>IF(OR(H257="",'线体日汇总'!G89=""),"",H257*'线体日汇总'!G89)</x:f>
      </x:c>
      <x:c r="J257" s="12" t="str">
        <x:f>IF(OR(G257="",G257=0,I257=""),"",(I257-G257)/G257)</x:f>
      </x:c>
      <x:c r="K257" s="2" t="n">
        <x:v>1300</x:v>
      </x:c>
      <x:c r="L257" s="2" t="n">
        <x:v>1</x:v>
      </x:c>
      <x:c r="M257" s="12" t="n">
        <x:f>IF(OR(K257="",K257=0),"",L257/K257)</x:f>
        <x:v>0.0007692307692307692</x:v>
      </x:c>
      <x:c r="N257" s="13" t="str">
        <x:v>计划工时基数为零；加班占比异常</x:v>
      </x:c>
      <x:c r="O257" s="2" t="str">
        <x:v>PP-0927</x:v>
      </x:c>
    </x:row>
  </x:sheetData>
  <x:conditionalFormatting sqref="N6:N257">
    <x:cfRule type="notContainsText" dxfId="0" priority="1" text="正常"/>
  </x:conditionalFormatting>
  <x:pageMargins left="0.7" right="0.7" top="0.75" bottom="0.75" header="0.3" footer="0.3"/>
  <x:tableParts count="1">
    <x:tablePart xmlns:r="http://schemas.openxmlformats.org/officeDocument/2006/relationships" r:id="R978333da33aa403c"/>
  </x:tableParts>
</x:worksheet>
</file>

<file path=xl/worksheets/sheet2.xml><?xml version="1.0" encoding="utf-8"?>
<x:worksheet xmlns:x="http://schemas.openxmlformats.org/spreadsheetml/2006/main">
  <x:sheetPr>
    <x:tabColor rgb="FF203F5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8" hidden="0" customWidth="1"/>
    <x:col min="4" max="4" width="20" hidden="0" customWidth="1"/>
    <x:col min="5" max="5" width="15" hidden="0" customWidth="1"/>
    <x:col min="6" max="6" width="18" hidden="0" customWidth="1"/>
    <x:col min="7" max="7" width="21" hidden="0" customWidth="1"/>
    <x:col min="8" max="8" width="19" hidden="0" customWidth="1"/>
    <x:col min="9" max="9" width="18" hidden="0" customWidth="1"/>
    <x:col min="10" max="10" width="16" hidden="0" customWidth="1"/>
    <x:col min="11" max="11" width="32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产线日级工时归集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LaborHours已含加班；Headcount为班次人次；日级数值仅在本表汇总。原始记录按最高修订版本归集。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9" t="str">
        <x:v>日期</x:v>
      </x:c>
      <x:c r="B5" s="9" t="str">
        <x:v>部门</x:v>
      </x:c>
      <x:c r="C5" s="9" t="str">
        <x:v>LaborHours</x:v>
      </x:c>
      <x:c r="D5" s="9" t="str">
        <x:v>OvertimeHours</x:v>
      </x:c>
      <x:c r="E5" s="9" t="str">
        <x:v>Headcount</x:v>
      </x:c>
      <x:c r="F5" s="9" t="str">
        <x:v>非生产工时</x:v>
      </x:c>
      <x:c r="G5" s="9" t="str">
        <x:v>可分摊生产工时</x:v>
      </x:c>
      <x:c r="H5" s="9" t="str">
        <x:v>计划工时合计</x:v>
      </x:c>
      <x:c r="I5" s="9" t="str">
        <x:v>已分摊工时</x:v>
      </x:c>
      <x:c r="J5" s="9" t="str">
        <x:v>加班占比</x:v>
      </x:c>
      <x:c r="K5" s="9" t="str">
        <x:v>待确认事项</x:v>
      </x:c>
      <x:c r="L5" s="9" t="str">
        <x:v>核对差额</x:v>
      </x:c>
    </x:row>
    <x:row r="6" ht="22" customHeight="1">
      <x:c r="A6" s="10" t="d">
        <x:v>2026-09-21T00:00:00.000Z</x:v>
      </x:c>
      <x:c r="B6" s="2" t="str">
        <x:v>D01</x:v>
      </x:c>
      <x:c r="C6" s="11" t="n">
        <x:v>127.58</x:v>
      </x:c>
      <x:c r="D6" s="11" t="n">
        <x:v>12.758</x:v>
      </x:c>
      <x:c r="E6" s="2" t="n">
        <x:v>21</x:v>
      </x:c>
      <x:c r="F6" s="11" t="n">
        <x:v>5</x:v>
      </x:c>
      <x:c r="G6" s="11" t="n">
        <x:f>IF(F6&gt;C6,"",C6-F6)</x:f>
        <x:v>122.58</x:v>
      </x:c>
      <x:c r="H6" s="11" t="n">
        <x:f>SUMIFS('工单核查'!$G$6:$G$257,'工单核查'!$A$6:$A$257,A6,'工单核查'!$B$6:$B$257,B6)</x:f>
        <x:v>90.8</x:v>
      </x:c>
      <x:c r="I6" s="11" t="n">
        <x:f>SUMIFS('工单核查'!$I$6:$I$257,'工单核查'!$A$6:$A$257,A6,'工单核查'!$B$6:$B$257,B6)</x:f>
        <x:v>122.58</x:v>
      </x:c>
      <x:c r="J6" s="12" t="n">
        <x:f>IF(C6=0,"",D6/C6)</x:f>
        <x:v>0.09999999999999999</x:v>
      </x:c>
      <x:c r="K6" s="2" t="str">
        <x:v>无</x:v>
      </x:c>
      <x:c r="L6" s="11" t="n">
        <x:f>I6-G6</x:f>
        <x:v>0</x:v>
      </x:c>
    </x:row>
    <x:row r="7" ht="22" customHeight="1">
      <x:c r="A7" s="10" t="d">
        <x:v>2026-09-21T00:00:00.000Z</x:v>
      </x:c>
      <x:c r="B7" s="2" t="str">
        <x:v>D02</x:v>
      </x:c>
      <x:c r="C7" s="11" t="n">
        <x:v>83.65</x:v>
      </x:c>
      <x:c r="D7" s="11" t="n">
        <x:v>20.9125</x:v>
      </x:c>
      <x:c r="E7" s="2" t="n">
        <x:v>23</x:v>
      </x:c>
      <x:c r="F7" s="11" t="n">
        <x:v>5.25</x:v>
      </x:c>
      <x:c r="G7" s="11" t="n">
        <x:f>IF(F7&gt;C7,"",C7-F7)</x:f>
        <x:v>78.4</x:v>
      </x:c>
      <x:c r="H7" s="11" t="n">
        <x:f>SUMIFS('工单核查'!$G$6:$G$257,'工单核查'!$A$6:$A$257,A7,'工单核查'!$B$6:$B$257,B7)</x:f>
        <x:v>112</x:v>
      </x:c>
      <x:c r="I7" s="11" t="n">
        <x:f>SUMIFS('工单核查'!$I$6:$I$257,'工单核查'!$A$6:$A$257,A7,'工单核查'!$B$6:$B$257,B7)</x:f>
        <x:v>78.39999999999999</x:v>
      </x:c>
      <x:c r="J7" s="12" t="n">
        <x:f>IF(C7=0,"",D7/C7)</x:f>
        <x:v>0.25</x:v>
      </x:c>
      <x:c r="K7" s="2" t="str">
        <x:v>无</x:v>
      </x:c>
      <x:c r="L7" s="11" t="n">
        <x:f>I7-G7</x:f>
        <x:v>-1.4210854715202004e-14</x:v>
      </x:c>
    </x:row>
    <x:row r="8" ht="22" customHeight="1">
      <x:c r="A8" s="10" t="d">
        <x:v>2026-09-21T00:00:00.000Z</x:v>
      </x:c>
      <x:c r="B8" s="2" t="str">
        <x:v>D03</x:v>
      </x:c>
      <x:c r="C8" s="11" t="n">
        <x:v>61.4433</x:v>
      </x:c>
      <x:c r="D8" s="11" t="n">
        <x:v>18.432991</x:v>
      </x:c>
      <x:c r="E8" s="2" t="n">
        <x:v>20</x:v>
      </x:c>
      <x:c r="F8" s="11" t="n">
        <x:v>5.583333333333333</x:v>
      </x:c>
      <x:c r="G8" s="11" t="n">
        <x:f>IF(F8&gt;C8,"",C8-F8)</x:f>
        <x:v>55.859966666666665</x:v>
      </x:c>
      <x:c r="H8" s="11" t="n">
        <x:f>SUMIFS('工单核查'!$G$6:$G$257,'工单核查'!$A$6:$A$257,A8,'工单核查'!$B$6:$B$257,B8)</x:f>
        <x:v>58.800000000000004</x:v>
      </x:c>
      <x:c r="I8" s="11" t="n">
        <x:f>SUMIFS('工单核查'!$I$6:$I$257,'工单核查'!$A$6:$A$257,A8,'工单核查'!$B$6:$B$257,B8)</x:f>
        <x:v>55.85996666666666</x:v>
      </x:c>
      <x:c r="J8" s="12" t="n">
        <x:f>IF(C8=0,"",D8/C8)</x:f>
        <x:v>0.30000001627516754</x:v>
      </x:c>
      <x:c r="K8" s="2" t="str">
        <x:v>无</x:v>
      </x:c>
      <x:c r="L8" s="11" t="n">
        <x:f>I8-G8</x:f>
        <x:v>-7.105427357601002e-15</x:v>
      </x:c>
    </x:row>
    <x:row r="9" ht="22" customHeight="1">
      <x:c r="A9" s="10" t="d">
        <x:v>2026-09-21T00:00:00.000Z</x:v>
      </x:c>
      <x:c r="B9" s="2" t="str">
        <x:v>D04</x:v>
      </x:c>
      <x:c r="C9" s="11" t="n">
        <x:v>79.3433</x:v>
      </x:c>
      <x:c r="D9" s="11" t="n">
        <x:v>3.967165</x:v>
      </x:c>
      <x:c r="E9" s="2" t="n">
        <x:v>17</x:v>
      </x:c>
      <x:c r="F9" s="11" t="n">
        <x:v>4.583333333333333</x:v>
      </x:c>
      <x:c r="G9" s="11" t="n">
        <x:f>IF(F9&gt;C9,"",C9-F9)</x:f>
        <x:v>74.75996666666667</x:v>
      </x:c>
      <x:c r="H9" s="11" t="n">
        <x:f>SUMIFS('工单核查'!$G$6:$G$257,'工单核查'!$A$6:$A$257,A9,'工单核查'!$B$6:$B$257,B9)</x:f>
        <x:v>71.19999999999999</x:v>
      </x:c>
      <x:c r="I9" s="11" t="n">
        <x:f>SUMIFS('工单核查'!$I$6:$I$257,'工单核查'!$A$6:$A$257,A9,'工单核查'!$B$6:$B$257,B9)</x:f>
        <x:v>74.75996666666668</x:v>
      </x:c>
      <x:c r="J9" s="12" t="n">
        <x:f>IF(C9=0,"",D9/C9)</x:f>
        <x:v>0.05</x:v>
      </x:c>
      <x:c r="K9" s="2" t="str">
        <x:v>无</x:v>
      </x:c>
      <x:c r="L9" s="11" t="n">
        <x:f>I9-G9</x:f>
        <x:v>1.4210854715202004e-14</x:v>
      </x:c>
    </x:row>
    <x:row r="10" ht="22" customHeight="1">
      <x:c r="A10" s="10" t="d">
        <x:v>2026-09-21T00:00:00.000Z</x:v>
      </x:c>
      <x:c r="B10" s="2" t="str">
        <x:v>D05</x:v>
      </x:c>
      <x:c r="C10" s="11" t="n">
        <x:v>99.4033</x:v>
      </x:c>
      <x:c r="D10" s="11" t="n">
        <x:v>19.88066</x:v>
      </x:c>
      <x:c r="E10" s="2" t="n">
        <x:v>19</x:v>
      </x:c>
      <x:c r="F10" s="11" t="n">
        <x:v>5.333333333333333</x:v>
      </x:c>
      <x:c r="G10" s="11" t="n">
        <x:f>IF(F10&gt;C10,"",C10-F10)</x:f>
        <x:v>94.06996666666667</x:v>
      </x:c>
      <x:c r="H10" s="11" t="n">
        <x:f>SUMIFS('工单核查'!$G$6:$G$257,'工单核查'!$A$6:$A$257,A10,'工单核查'!$B$6:$B$257,B10)</x:f>
        <x:v>81.8</x:v>
      </x:c>
      <x:c r="I10" s="11" t="n">
        <x:f>SUMIFS('工单核查'!$I$6:$I$257,'工单核查'!$A$6:$A$257,A10,'工单核查'!$B$6:$B$257,B10)</x:f>
        <x:v>94.06996666666667</x:v>
      </x:c>
      <x:c r="J10" s="12" t="n">
        <x:f>IF(C10=0,"",D10/C10)</x:f>
        <x:v>0.19999999999999998</x:v>
      </x:c>
      <x:c r="K10" s="2" t="str">
        <x:v>无</x:v>
      </x:c>
      <x:c r="L10" s="11" t="n">
        <x:f>I10-G10</x:f>
        <x:v>0</x:v>
      </x:c>
    </x:row>
    <x:row r="11" ht="22" customHeight="1">
      <x:c r="A11" s="10" t="d">
        <x:v>2026-09-21T00:00:00.000Z</x:v>
      </x:c>
      <x:c r="B11" s="2" t="str">
        <x:v>D06</x:v>
      </x:c>
      <x:c r="C11" s="11" t="n">
        <x:v>139.5033</x:v>
      </x:c>
      <x:c r="D11" s="11" t="n">
        <x:v>55.801320000000004</x:v>
      </x:c>
      <x:c r="E11" s="2" t="n">
        <x:v>21</x:v>
      </x:c>
      <x:c r="F11" s="11" t="n">
        <x:v>5.583333333333333</x:v>
      </x:c>
      <x:c r="G11" s="11" t="n">
        <x:f>IF(F11&gt;C11,"",C11-F11)</x:f>
        <x:v>133.91996666666665</x:v>
      </x:c>
      <x:c r="H11" s="11" t="n">
        <x:f>SUMIFS('工单核查'!$G$6:$G$257,'工单核查'!$A$6:$A$257,A11,'工单核查'!$B$6:$B$257,B11)</x:f>
        <x:v>111.60000000000001</x:v>
      </x:c>
      <x:c r="I11" s="11" t="n">
        <x:f>SUMIFS('工单核查'!$I$6:$I$257,'工单核查'!$A$6:$A$257,A11,'工单核查'!$B$6:$B$257,B11)</x:f>
        <x:v>133.91996666666662</x:v>
      </x:c>
      <x:c r="J11" s="12" t="n">
        <x:f>IF(C11=0,"",D11/C11)</x:f>
        <x:v>0.4</x:v>
      </x:c>
      <x:c r="K11" s="2" t="str">
        <x:v>无</x:v>
      </x:c>
      <x:c r="L11" s="11" t="n">
        <x:f>I11-G11</x:f>
        <x:v>-2.842170943040401e-14</x:v>
      </x:c>
    </x:row>
    <x:row r="12" ht="22" customHeight="1">
      <x:c r="A12" s="10" t="d">
        <x:v>2026-09-21T00:00:00.000Z</x:v>
      </x:c>
      <x:c r="B12" s="2" t="str">
        <x:v>D07</x:v>
      </x:c>
      <x:c r="C12" s="11" t="n">
        <x:v>52.916700000000006</x:v>
      </x:c>
      <x:c r="D12" s="11" t="n">
        <x:v>5.29167</x:v>
      </x:c>
      <x:c r="E12" s="2" t="n">
        <x:v>23</x:v>
      </x:c>
      <x:c r="F12" s="11" t="n">
        <x:v>4.916666666666667</x:v>
      </x:c>
      <x:c r="G12" s="11" t="n">
        <x:f>IF(F12&gt;C12,"",C12-F12)</x:f>
        <x:v>48.00003333333334</x:v>
      </x:c>
      <x:c r="H12" s="11" t="n">
        <x:f>SUMIFS('工单核查'!$G$6:$G$257,'工单核查'!$A$6:$A$257,A12,'工单核查'!$B$6:$B$257,B12)</x:f>
        <x:v>60</x:v>
      </x:c>
      <x:c r="I12" s="11" t="n">
        <x:f>SUMIFS('工单核查'!$I$6:$I$257,'工单核查'!$A$6:$A$257,A12,'工单核查'!$B$6:$B$257,B12)</x:f>
        <x:v>48.00003333333335</x:v>
      </x:c>
      <x:c r="J12" s="12" t="n">
        <x:f>IF(C12=0,"",D12/C12)</x:f>
        <x:v>0.09999999999999999</x:v>
      </x:c>
      <x:c r="K12" s="2" t="str">
        <x:v>无</x:v>
      </x:c>
      <x:c r="L12" s="11" t="n">
        <x:f>I12-G12</x:f>
        <x:v>7.105427357601002e-15</x:v>
      </x:c>
    </x:row>
    <x:row r="13" ht="22" customHeight="1">
      <x:c r="A13" s="10" t="d">
        <x:v>2026-09-21T00:00:00.000Z</x:v>
      </x:c>
      <x:c r="B13" s="2" t="str">
        <x:v>D08</x:v>
      </x:c>
      <x:c r="C13" s="11" t="n">
        <x:v>139.6067</x:v>
      </x:c>
      <x:c r="D13" s="11" t="n">
        <x:v>34.901675</x:v>
      </x:c>
      <x:c r="E13" s="2" t="n">
        <x:v>20</x:v>
      </x:c>
      <x:c r="F13" s="11" t="n">
        <x:v>5.416666666666666</x:v>
      </x:c>
      <x:c r="G13" s="11" t="n">
        <x:f>IF(F13&gt;C13,"",C13-F13)</x:f>
        <x:v>134.19003333333333</x:v>
      </x:c>
      <x:c r="H13" s="11" t="n">
        <x:f>SUMIFS('工单核查'!$G$6:$G$257,'工单核查'!$A$6:$A$257,A13,'工单核查'!$B$6:$B$257,B13)</x:f>
        <x:v>99.4</x:v>
      </x:c>
      <x:c r="I13" s="11" t="n">
        <x:f>SUMIFS('工单核查'!$I$6:$I$257,'工单核查'!$A$6:$A$257,A13,'工单核查'!$B$6:$B$257,B13)</x:f>
        <x:v>134.19003333333333</x:v>
      </x:c>
      <x:c r="J13" s="12" t="n">
        <x:f>IF(C13=0,"",D13/C13)</x:f>
        <x:v>0.25</x:v>
      </x:c>
      <x:c r="K13" s="2" t="str">
        <x:v>无</x:v>
      </x:c>
      <x:c r="L13" s="11" t="n">
        <x:f>I13-G13</x:f>
        <x:v>0</x:v>
      </x:c>
    </x:row>
    <x:row r="14" ht="22" customHeight="1">
      <x:c r="A14" s="10" t="d">
        <x:v>2026-09-21T00:00:00.000Z</x:v>
      </x:c>
      <x:c r="B14" s="2" t="str">
        <x:v>D09</x:v>
      </x:c>
      <x:c r="C14" s="11" t="n">
        <x:v>44.806700000000006</x:v>
      </x:c>
      <x:c r="D14" s="11" t="n">
        <x:v>13.44201</x:v>
      </x:c>
      <x:c r="E14" s="2" t="n">
        <x:v>17</x:v>
      </x:c>
      <x:c r="F14" s="11" t="n">
        <x:v>6.166666666666666</x:v>
      </x:c>
      <x:c r="G14" s="11" t="n">
        <x:f>IF(F14&gt;C14,"",C14-F14)</x:f>
        <x:v>38.64003333333334</x:v>
      </x:c>
      <x:c r="H14" s="11" t="n">
        <x:f>SUMIFS('工单核查'!$G$6:$G$257,'工单核查'!$A$6:$A$257,A14,'工单核查'!$B$6:$B$257,B14)</x:f>
        <x:v>55.2</x:v>
      </x:c>
      <x:c r="I14" s="11" t="n">
        <x:f>SUMIFS('工单核查'!$I$6:$I$257,'工单核查'!$A$6:$A$257,A14,'工单核查'!$B$6:$B$257,B14)</x:f>
        <x:v>38.64003333333334</x:v>
      </x:c>
      <x:c r="J14" s="12" t="n">
        <x:f>IF(C14=0,"",D14/C14)</x:f>
        <x:v>0.29999999999999993</x:v>
      </x:c>
      <x:c r="K14" s="2" t="str">
        <x:v>无</x:v>
      </x:c>
      <x:c r="L14" s="11" t="n">
        <x:f>I14-G14</x:f>
        <x:v>0</x:v>
      </x:c>
    </x:row>
    <x:row r="15" ht="22" customHeight="1">
      <x:c r="A15" s="10" t="d">
        <x:v>2026-09-21T00:00:00.000Z</x:v>
      </x:c>
      <x:c r="B15" s="2" t="str">
        <x:v>D10</x:v>
      </x:c>
      <x:c r="C15" s="11" t="n">
        <x:v>96.86670000000001</x:v>
      </x:c>
      <x:c r="D15" s="11" t="n">
        <x:v>4.843335</x:v>
      </x:c>
      <x:c r="E15" s="2" t="n">
        <x:v>19</x:v>
      </x:c>
      <x:c r="F15" s="11" t="n">
        <x:v>5.666666666666666</x:v>
      </x:c>
      <x:c r="G15" s="11" t="n">
        <x:f>IF(F15&gt;C15,"",C15-F15)</x:f>
        <x:v>91.20003333333334</x:v>
      </x:c>
      <x:c r="H15" s="11" t="n">
        <x:f>SUMIFS('工单核查'!$G$6:$G$257,'工单核查'!$A$6:$A$257,A15,'工单核查'!$B$6:$B$257,B15)</x:f>
        <x:v>96</x:v>
      </x:c>
      <x:c r="I15" s="11" t="n">
        <x:f>SUMIFS('工单核查'!$I$6:$I$257,'工单核查'!$A$6:$A$257,A15,'工单核查'!$B$6:$B$257,B15)</x:f>
        <x:v>91.20003333333332</x:v>
      </x:c>
      <x:c r="J15" s="12" t="n">
        <x:f>IF(C15=0,"",D15/C15)</x:f>
        <x:v>0.049999999999999996</x:v>
      </x:c>
      <x:c r="K15" s="2" t="str">
        <x:v>无</x:v>
      </x:c>
      <x:c r="L15" s="11" t="n">
        <x:f>I15-G15</x:f>
        <x:v>-1.4210854715202004e-14</x:v>
      </x:c>
    </x:row>
    <x:row r="16" ht="22" customHeight="1">
      <x:c r="A16" s="10" t="d">
        <x:v>2026-09-21T00:00:00.000Z</x:v>
      </x:c>
      <x:c r="B16" s="2" t="str">
        <x:v>D11</x:v>
      </x:c>
      <x:c r="C16" s="11" t="n">
        <x:v>91.88999999999999</x:v>
      </x:c>
      <x:c r="D16" s="11" t="n">
        <x:v>18.378</x:v>
      </x:c>
      <x:c r="E16" s="2" t="n">
        <x:v>21</x:v>
      </x:c>
      <x:c r="F16" s="11" t="n">
        <x:v>6</x:v>
      </x:c>
      <x:c r="G16" s="11" t="n">
        <x:f>IF(F16&gt;C16,"",C16-F16)</x:f>
        <x:v>85.88999999999999</x:v>
      </x:c>
      <x:c r="H16" s="11" t="n">
        <x:f>SUMIFS('工单核查'!$G$6:$G$257,'工单核查'!$A$6:$A$257,A16,'工单核查'!$B$6:$B$257,B16)</x:f>
        <x:v>81.8</x:v>
      </x:c>
      <x:c r="I16" s="11" t="n">
        <x:f>SUMIFS('工单核查'!$I$6:$I$257,'工单核查'!$A$6:$A$257,A16,'工单核查'!$B$6:$B$257,B16)</x:f>
        <x:v>85.88999999999999</x:v>
      </x:c>
      <x:c r="J16" s="12" t="n">
        <x:f>IF(C16=0,"",D16/C16)</x:f>
        <x:v>0.20000000000000004</x:v>
      </x:c>
      <x:c r="K16" s="2" t="str">
        <x:v>无</x:v>
      </x:c>
      <x:c r="L16" s="11" t="n">
        <x:f>I16-G16</x:f>
        <x:v>0</x:v>
      </x:c>
    </x:row>
    <x:row r="17" ht="22" customHeight="1">
      <x:c r="A17" s="10" t="d">
        <x:v>2026-09-21T00:00:00.000Z</x:v>
      </x:c>
      <x:c r="B17" s="2" t="str">
        <x:v>D12</x:v>
      </x:c>
      <x:c r="C17" s="11" t="n">
        <x:v>92.52000000000001</x:v>
      </x:c>
      <x:c r="D17" s="11" t="n">
        <x:v>37.007999999999996</x:v>
      </x:c>
      <x:c r="E17" s="2" t="n">
        <x:v>23</x:v>
      </x:c>
      <x:c r="F17" s="11" t="n">
        <x:v>6.5</x:v>
      </x:c>
      <x:c r="G17" s="11" t="n">
        <x:f>IF(F17&gt;C17,"",C17-F17)</x:f>
        <x:v>86.02000000000001</x:v>
      </x:c>
      <x:c r="H17" s="11" t="n">
        <x:f>SUMIFS('工单核查'!$G$6:$G$257,'工单核查'!$A$6:$A$257,A17,'工单核查'!$B$6:$B$257,B17)</x:f>
        <x:v>74.8</x:v>
      </x:c>
      <x:c r="I17" s="11" t="n">
        <x:f>SUMIFS('工单核查'!$I$6:$I$257,'工单核查'!$A$6:$A$257,A17,'工单核查'!$B$6:$B$257,B17)</x:f>
        <x:v>86.02000000000001</x:v>
      </x:c>
      <x:c r="J17" s="12" t="n">
        <x:f>IF(C17=0,"",D17/C17)</x:f>
        <x:v>0.3999999999999999</x:v>
      </x:c>
      <x:c r="K17" s="2" t="str">
        <x:v>无</x:v>
      </x:c>
      <x:c r="L17" s="11" t="n">
        <x:f>I17-G17</x:f>
        <x:v>0</x:v>
      </x:c>
    </x:row>
    <x:row r="18" ht="22" customHeight="1">
      <x:c r="A18" s="10" t="d">
        <x:v>2026-09-22T00:00:00.000Z</x:v>
      </x:c>
      <x:c r="B18" s="2" t="str">
        <x:v>D01</x:v>
      </x:c>
      <x:c r="C18" s="11" t="n">
        <x:v>102.2</x:v>
      </x:c>
      <x:c r="D18" s="11" t="n">
        <x:v>10.22</x:v>
      </x:c>
      <x:c r="E18" s="2" t="n">
        <x:v>20</x:v>
      </x:c>
      <x:c r="F18" s="11" t="n">
        <x:v>5</x:v>
      </x:c>
      <x:c r="G18" s="11" t="n">
        <x:f>IF(F18&gt;C18,"",C18-F18)</x:f>
        <x:v>97.2</x:v>
      </x:c>
      <x:c r="H18" s="11" t="n">
        <x:f>SUMIFS('工单核查'!$G$6:$G$257,'工单核查'!$A$6:$A$257,A18,'工单核查'!$B$6:$B$257,B18)</x:f>
        <x:v>81</x:v>
      </x:c>
      <x:c r="I18" s="11" t="n">
        <x:f>SUMIFS('工单核查'!$I$6:$I$257,'工单核查'!$A$6:$A$257,A18,'工单核查'!$B$6:$B$257,B18)</x:f>
        <x:v>97.19999999999999</x:v>
      </x:c>
      <x:c r="J18" s="12" t="n">
        <x:f>IF(C18=0,"",D18/C18)</x:f>
        <x:v>0.1</x:v>
      </x:c>
      <x:c r="K18" s="2" t="str">
        <x:v>无</x:v>
      </x:c>
      <x:c r="L18" s="11" t="n">
        <x:f>I18-G18</x:f>
        <x:v>-1.4210854715202004e-14</x:v>
      </x:c>
    </x:row>
    <x:row r="19" ht="22" customHeight="1">
      <x:c r="A19" s="10" t="d">
        <x:v>2026-09-22T00:00:00.000Z</x:v>
      </x:c>
      <x:c r="B19" s="2" t="str">
        <x:v>D02</x:v>
      </x:c>
      <x:c r="C19" s="11" t="n">
        <x:v>83.16999999999999</x:v>
      </x:c>
      <x:c r="D19" s="11" t="n">
        <x:v>20.792499999999997</x:v>
      </x:c>
      <x:c r="E19" s="2" t="n">
        <x:v>17</x:v>
      </x:c>
      <x:c r="F19" s="11" t="n">
        <x:v>5.25</x:v>
      </x:c>
      <x:c r="G19" s="11" t="n">
        <x:f>IF(F19&gt;C19,"",C19-F19)</x:f>
        <x:v>77.91999999999999</x:v>
      </x:c>
      <x:c r="H19" s="11" t="n">
        <x:f>SUMIFS('工单核查'!$G$6:$G$257,'工单核查'!$A$6:$A$257,A19,'工单核查'!$B$6:$B$257,B19)</x:f>
        <x:v>97.4</x:v>
      </x:c>
      <x:c r="I19" s="11" t="n">
        <x:f>SUMIFS('工单核查'!$I$6:$I$257,'工单核查'!$A$6:$A$257,A19,'工单核查'!$B$6:$B$257,B19)</x:f>
        <x:v>77.91999999999999</x:v>
      </x:c>
      <x:c r="J19" s="12" t="n">
        <x:f>IF(C19=0,"",D19/C19)</x:f>
        <x:v>0.25</x:v>
      </x:c>
      <x:c r="K19" s="2" t="str">
        <x:v>无</x:v>
      </x:c>
      <x:c r="L19" s="11" t="n">
        <x:f>I19-G19</x:f>
        <x:v>0</x:v>
      </x:c>
    </x:row>
    <x:row r="20" ht="22" customHeight="1">
      <x:c r="A20" s="10" t="d">
        <x:v>2026-09-22T00:00:00.000Z</x:v>
      </x:c>
      <x:c r="B20" s="2" t="str">
        <x:v>D03</x:v>
      </x:c>
      <x:c r="C20" s="11" t="n">
        <x:v>86.8633</x:v>
      </x:c>
      <x:c r="D20" s="11" t="n">
        <x:v>26.058989</x:v>
      </x:c>
      <x:c r="E20" s="2" t="n">
        <x:v>19</x:v>
      </x:c>
      <x:c r="F20" s="11" t="n">
        <x:v>5.583333333333333</x:v>
      </x:c>
      <x:c r="G20" s="11" t="n">
        <x:f>IF(F20&gt;C20,"",C20-F20)</x:f>
        <x:v>81.27996666666667</x:v>
      </x:c>
      <x:c r="H20" s="11" t="n">
        <x:f>SUMIFS('工单核查'!$G$6:$G$257,'工单核查'!$A$6:$A$257,A20,'工单核查'!$B$6:$B$257,B20)</x:f>
        <x:v>50.8</x:v>
      </x:c>
      <x:c r="I20" s="11" t="n">
        <x:f>SUMIFS('工单核查'!$I$6:$I$257,'工单核查'!$A$6:$A$257,A20,'工单核查'!$B$6:$B$257,B20)</x:f>
        <x:v>81.27996666666667</x:v>
      </x:c>
      <x:c r="J20" s="12" t="n">
        <x:f>IF(C20=0,"",D20/C20)</x:f>
        <x:v>0.29999998848765824</x:v>
      </x:c>
      <x:c r="K20" s="2" t="str">
        <x:v>无</x:v>
      </x:c>
      <x:c r="L20" s="11" t="n">
        <x:f>I20-G20</x:f>
        <x:v>0</x:v>
      </x:c>
    </x:row>
    <x:row r="21" ht="22" customHeight="1">
      <x:c r="A21" s="10" t="d">
        <x:v>2026-09-22T00:00:00.000Z</x:v>
      </x:c>
      <x:c r="B21" s="2" t="str">
        <x:v>D04</x:v>
      </x:c>
      <x:c r="C21" s="11" t="n">
        <x:v>57.503299999999996</x:v>
      </x:c>
      <x:c r="D21" s="11" t="n">
        <x:v>2.875165</x:v>
      </x:c>
      <x:c r="E21" s="2" t="n">
        <x:v>21</x:v>
      </x:c>
      <x:c r="F21" s="11" t="n">
        <x:v>4.583333333333333</x:v>
      </x:c>
      <x:c r="G21" s="11" t="n">
        <x:f>IF(F21&gt;C21,"",C21-F21)</x:f>
        <x:v>52.91996666666666</x:v>
      </x:c>
      <x:c r="H21" s="11" t="n">
        <x:f>SUMIFS('工单核查'!$G$6:$G$257,'工单核查'!$A$6:$A$257,A21,'工单核查'!$B$6:$B$257,B21)</x:f>
        <x:v>75.6</x:v>
      </x:c>
      <x:c r="I21" s="11" t="n">
        <x:f>SUMIFS('工单核查'!$I$6:$I$257,'工单核查'!$A$6:$A$257,A21,'工单核查'!$B$6:$B$257,B21)</x:f>
        <x:v>52.91996666666667</x:v>
      </x:c>
      <x:c r="J21" s="12" t="n">
        <x:f>IF(C21=0,"",D21/C21)</x:f>
        <x:v>0.05</x:v>
      </x:c>
      <x:c r="K21" s="2" t="str">
        <x:v>无</x:v>
      </x:c>
      <x:c r="L21" s="11" t="n">
        <x:f>I21-G21</x:f>
        <x:v>7.105427357601002e-15</x:v>
      </x:c>
    </x:row>
    <x:row r="22" ht="22" customHeight="1">
      <x:c r="A22" s="10" t="d">
        <x:v>2026-09-22T00:00:00.000Z</x:v>
      </x:c>
      <x:c r="B22" s="2" t="str">
        <x:v>D05</x:v>
      </x:c>
      <x:c r="C22" s="11" t="n">
        <x:v>110.9733</x:v>
      </x:c>
      <x:c r="D22" s="11" t="n">
        <x:v>22.19466</x:v>
      </x:c>
      <x:c r="E22" s="2" t="n">
        <x:v>23</x:v>
      </x:c>
      <x:c r="F22" s="11" t="n">
        <x:v>5.333333333333333</x:v>
      </x:c>
      <x:c r="G22" s="11" t="n">
        <x:f>IF(F22&gt;C22,"",C22-F22)</x:f>
        <x:v>105.63996666666667</x:v>
      </x:c>
      <x:c r="H22" s="11" t="n">
        <x:f>SUMIFS('工单核查'!$G$6:$G$257,'工单核查'!$A$6:$A$257,A22,'工单核查'!$B$6:$B$257,B22)</x:f>
        <x:v>111.2</x:v>
      </x:c>
      <x:c r="I22" s="11" t="n">
        <x:f>SUMIFS('工单核查'!$I$6:$I$257,'工单核查'!$A$6:$A$257,A22,'工单核查'!$B$6:$B$257,B22)</x:f>
        <x:v>105.63996666666667</x:v>
      </x:c>
      <x:c r="J22" s="12" t="n">
        <x:f>IF(C22=0,"",D22/C22)</x:f>
        <x:v>0.2</x:v>
      </x:c>
      <x:c r="K22" s="2" t="str">
        <x:v>无</x:v>
      </x:c>
      <x:c r="L22" s="11" t="n">
        <x:f>I22-G22</x:f>
        <x:v>0</x:v>
      </x:c>
    </x:row>
    <x:row r="23" ht="22" customHeight="1">
      <x:c r="A23" s="10" t="d">
        <x:v>2026-09-22T00:00:00.000Z</x:v>
      </x:c>
      <x:c r="B23" s="2" t="str">
        <x:v>D06</x:v>
      </x:c>
      <x:c r="C23" s="11" t="n">
        <x:v>79.08330000000001</x:v>
      </x:c>
      <x:c r="D23" s="11" t="n">
        <x:v>31.63332</x:v>
      </x:c>
      <x:c r="E23" s="2" t="n">
        <x:v>20</x:v>
      </x:c>
      <x:c r="F23" s="11" t="n">
        <x:v>5.583333333333333</x:v>
      </x:c>
      <x:c r="G23" s="11" t="n">
        <x:f>IF(F23&gt;C23,"",C23-F23)</x:f>
        <x:v>73.49996666666668</x:v>
      </x:c>
      <x:c r="H23" s="11" t="n">
        <x:f>SUMIFS('工单核查'!$G$6:$G$257,'工单核查'!$A$6:$A$257,A23,'工单核查'!$B$6:$B$257,B23)</x:f>
        <x:v>70</x:v>
      </x:c>
      <x:c r="I23" s="11" t="n">
        <x:f>SUMIFS('工单核查'!$I$6:$I$257,'工单核查'!$A$6:$A$257,A23,'工单核查'!$B$6:$B$257,B23)</x:f>
        <x:v>73.49996666666668</x:v>
      </x:c>
      <x:c r="J23" s="12" t="n">
        <x:f>IF(C23=0,"",D23/C23)</x:f>
        <x:v>0.39999999999999997</x:v>
      </x:c>
      <x:c r="K23" s="2" t="str">
        <x:v>无</x:v>
      </x:c>
      <x:c r="L23" s="11" t="n">
        <x:f>I23-G23</x:f>
        <x:v>0</x:v>
      </x:c>
    </x:row>
    <x:row r="24" ht="22" customHeight="1">
      <x:c r="A24" s="10" t="d">
        <x:v>2026-09-22T00:00:00.000Z</x:v>
      </x:c>
      <x:c r="B24" s="2" t="str">
        <x:v>D07</x:v>
      </x:c>
      <x:c r="C24" s="11" t="n">
        <x:v>98.0667</x:v>
      </x:c>
      <x:c r="D24" s="11" t="n">
        <x:v>9.806671</x:v>
      </x:c>
      <x:c r="E24" s="2" t="n">
        <x:v>17</x:v>
      </x:c>
      <x:c r="F24" s="11" t="n">
        <x:v>4.916666666666667</x:v>
      </x:c>
      <x:c r="G24" s="11" t="n">
        <x:f>IF(F24&gt;C24,"",C24-F24)</x:f>
        <x:v>93.15003333333333</x:v>
      </x:c>
      <x:c r="H24" s="11" t="n">
        <x:f>SUMIFS('工单核查'!$G$6:$G$257,'工单核查'!$A$6:$A$257,A24,'工单核查'!$B$6:$B$257,B24)</x:f>
        <x:v>81</x:v>
      </x:c>
      <x:c r="I24" s="11" t="n">
        <x:f>SUMIFS('工单核查'!$I$6:$I$257,'工单核查'!$A$6:$A$257,A24,'工单核查'!$B$6:$B$257,B24)</x:f>
        <x:v>93.15003333333333</x:v>
      </x:c>
      <x:c r="J24" s="12" t="n">
        <x:f>IF(C24=0,"",D24/C24)</x:f>
        <x:v>0.10000001019714133</x:v>
      </x:c>
      <x:c r="K24" s="2" t="str">
        <x:v>无</x:v>
      </x:c>
      <x:c r="L24" s="11" t="n">
        <x:f>I24-G24</x:f>
        <x:v>0</x:v>
      </x:c>
    </x:row>
    <x:row r="25" ht="22" customHeight="1">
      <x:c r="A25" s="10" t="d">
        <x:v>2026-09-22T00:00:00.000Z</x:v>
      </x:c>
      <x:c r="B25" s="2" t="str">
        <x:v>D08</x:v>
      </x:c>
      <x:c r="C25" s="11" t="n">
        <x:v>128.2967</x:v>
      </x:c>
      <x:c r="D25" s="11" t="n">
        <x:v>32.074175000000004</x:v>
      </x:c>
      <x:c r="E25" s="2" t="n">
        <x:v>19</x:v>
      </x:c>
      <x:c r="F25" s="11" t="n">
        <x:v>5.416666666666666</x:v>
      </x:c>
      <x:c r="G25" s="11" t="n">
        <x:f>IF(F25&gt;C25,"",C25-F25)</x:f>
        <x:v>122.88003333333332</x:v>
      </x:c>
      <x:c r="H25" s="11" t="n">
        <x:f>SUMIFS('工单核查'!$G$6:$G$257,'工单核查'!$A$6:$A$257,A25,'工单核查'!$B$6:$B$257,B25)</x:f>
        <x:v>102.4</x:v>
      </x:c>
      <x:c r="I25" s="11" t="n">
        <x:f>SUMIFS('工单核查'!$I$6:$I$257,'工单核查'!$A$6:$A$257,A25,'工单核查'!$B$6:$B$257,B25)</x:f>
        <x:v>122.88003333333332</x:v>
      </x:c>
      <x:c r="J25" s="12" t="n">
        <x:f>IF(C25=0,"",D25/C25)</x:f>
        <x:v>0.25000000000000006</x:v>
      </x:c>
      <x:c r="K25" s="2" t="str">
        <x:v>无</x:v>
      </x:c>
      <x:c r="L25" s="11" t="n">
        <x:f>I25-G25</x:f>
        <x:v>0</x:v>
      </x:c>
    </x:row>
    <x:row r="26" ht="22" customHeight="1">
      <x:c r="A26" s="10" t="d">
        <x:v>2026-09-22T00:00:00.000Z</x:v>
      </x:c>
      <x:c r="B26" s="2" t="str">
        <x:v>D09</x:v>
      </x:c>
      <x:c r="C26" s="11" t="n">
        <x:v>51.286699999999996</x:v>
      </x:c>
      <x:c r="D26" s="11" t="n">
        <x:v>15.386011</x:v>
      </x:c>
      <x:c r="E26" s="2" t="n">
        <x:v>21</x:v>
      </x:c>
      <x:c r="F26" s="11" t="n">
        <x:v>6.166666666666666</x:v>
      </x:c>
      <x:c r="G26" s="11" t="n">
        <x:f>IF(F26&gt;C26,"",C26-F26)</x:f>
        <x:v>45.12003333333333</x:v>
      </x:c>
      <x:c r="H26" s="11" t="n">
        <x:f>SUMIFS('工单核查'!$G$6:$G$257,'工单核查'!$A$6:$A$257,A26,'工单核查'!$B$6:$B$257,B26)</x:f>
        <x:v>56.4</x:v>
      </x:c>
      <x:c r="I26" s="11" t="n">
        <x:f>SUMIFS('工单核查'!$I$6:$I$257,'工单核查'!$A$6:$A$257,A26,'工单核查'!$B$6:$B$257,B26)</x:f>
        <x:v>45.12003333333333</x:v>
      </x:c>
      <x:c r="J26" s="12" t="n">
        <x:f>IF(C26=0,"",D26/C26)</x:f>
        <x:v>0.3000000194982325</x:v>
      </x:c>
      <x:c r="K26" s="2" t="str">
        <x:v>无</x:v>
      </x:c>
      <x:c r="L26" s="11" t="n">
        <x:f>I26-G26</x:f>
        <x:v>0</x:v>
      </x:c>
    </x:row>
    <x:row r="27" ht="22" customHeight="1">
      <x:c r="A27" s="10" t="d">
        <x:v>2026-09-22T00:00:00.000Z</x:v>
      </x:c>
      <x:c r="B27" s="2" t="str">
        <x:v>D10</x:v>
      </x:c>
      <x:c r="C27" s="11" t="n">
        <x:v>129.3267</x:v>
      </x:c>
      <x:c r="D27" s="11" t="n">
        <x:v>6.466335000000001</x:v>
      </x:c>
      <x:c r="E27" s="2" t="n">
        <x:v>23</x:v>
      </x:c>
      <x:c r="F27" s="11" t="n">
        <x:v>5.666666666666666</x:v>
      </x:c>
      <x:c r="G27" s="11" t="n">
        <x:f>IF(F27&gt;C27,"",C27-F27)</x:f>
        <x:v>123.66003333333332</x:v>
      </x:c>
      <x:c r="H27" s="11" t="n">
        <x:f>SUMIFS('工单核查'!$G$6:$G$257,'工单核查'!$A$6:$A$257,A27,'工单核查'!$B$6:$B$257,B27)</x:f>
        <x:v>91.6</x:v>
      </x:c>
      <x:c r="I27" s="11" t="n">
        <x:f>SUMIFS('工单核查'!$I$6:$I$257,'工单核查'!$A$6:$A$257,A27,'工单核查'!$B$6:$B$257,B27)</x:f>
        <x:v>123.66003333333333</x:v>
      </x:c>
      <x:c r="J27" s="12" t="n">
        <x:f>IF(C27=0,"",D27/C27)</x:f>
        <x:v>0.05000000000000001</x:v>
      </x:c>
      <x:c r="K27" s="2" t="str">
        <x:v>无</x:v>
      </x:c>
      <x:c r="L27" s="11" t="n">
        <x:f>I27-G27</x:f>
        <x:v>1.4210854715202004e-14</x:v>
      </x:c>
    </x:row>
    <x:row r="28" ht="22" customHeight="1">
      <x:c r="A28" s="10" t="d">
        <x:v>2026-09-22T00:00:00.000Z</x:v>
      </x:c>
      <x:c r="B28" s="2" t="str">
        <x:v>D11</x:v>
      </x:c>
      <x:c r="C28" s="11" t="n">
        <x:v>73.75999999999999</x:v>
      </x:c>
      <x:c r="D28" s="11" t="n">
        <x:v>14.751999999999999</x:v>
      </x:c>
      <x:c r="E28" s="2" t="n">
        <x:v>20</x:v>
      </x:c>
      <x:c r="F28" s="11" t="n">
        <x:v>6</x:v>
      </x:c>
      <x:c r="G28" s="11" t="n">
        <x:f>IF(F28&gt;C28,"",C28-F28)</x:f>
        <x:v>67.75999999999999</x:v>
      </x:c>
      <x:c r="H28" s="11" t="n">
        <x:f>SUMIFS('工单核查'!$G$6:$G$257,'工单核查'!$A$6:$A$257,A28,'工单核查'!$B$6:$B$257,B28)</x:f>
        <x:v>96.8</x:v>
      </x:c>
      <x:c r="I28" s="11" t="n">
        <x:f>SUMIFS('工单核查'!$I$6:$I$257,'工单核查'!$A$6:$A$257,A28,'工单核查'!$B$6:$B$257,B28)</x:f>
        <x:v>67.75999999999999</x:v>
      </x:c>
      <x:c r="J28" s="12" t="n">
        <x:f>IF(C28=0,"",D28/C28)</x:f>
        <x:v>0.2</x:v>
      </x:c>
      <x:c r="K28" s="2" t="str">
        <x:v>无</x:v>
      </x:c>
      <x:c r="L28" s="11" t="n">
        <x:f>I28-G28</x:f>
        <x:v>0</x:v>
      </x:c>
    </x:row>
    <x:row r="29" ht="22" customHeight="1">
      <x:c r="A29" s="10" t="d">
        <x:v>2026-09-22T00:00:00.000Z</x:v>
      </x:c>
      <x:c r="B29" s="2" t="str">
        <x:v>D12</x:v>
      </x:c>
      <x:c r="C29" s="11" t="n">
        <x:v>58.18</x:v>
      </x:c>
      <x:c r="D29" s="11" t="n">
        <x:v>23.272</x:v>
      </x:c>
      <x:c r="E29" s="2" t="n">
        <x:v>17</x:v>
      </x:c>
      <x:c r="F29" s="11" t="n">
        <x:v>6.5</x:v>
      </x:c>
      <x:c r="G29" s="11" t="n">
        <x:f>IF(F29&gt;C29,"",C29-F29)</x:f>
        <x:v>51.68</x:v>
      </x:c>
      <x:c r="H29" s="11" t="n">
        <x:f>SUMIFS('工单核查'!$G$6:$G$257,'工单核查'!$A$6:$A$257,A29,'工单核查'!$B$6:$B$257,B29)</x:f>
        <x:v>54.4</x:v>
      </x:c>
      <x:c r="I29" s="11" t="n">
        <x:f>SUMIFS('工单核查'!$I$6:$I$257,'工单核查'!$A$6:$A$257,A29,'工单核查'!$B$6:$B$257,B29)</x:f>
        <x:v>51.67999999999999</x:v>
      </x:c>
      <x:c r="J29" s="12" t="n">
        <x:f>IF(C29=0,"",D29/C29)</x:f>
        <x:v>0.39999999999999997</x:v>
      </x:c>
      <x:c r="K29" s="2" t="str">
        <x:v>无</x:v>
      </x:c>
      <x:c r="L29" s="11" t="n">
        <x:f>I29-G29</x:f>
        <x:v>-7.105427357601002e-15</x:v>
      </x:c>
    </x:row>
    <x:row r="30" ht="22" customHeight="1">
      <x:c r="A30" s="10" t="d">
        <x:v>2026-09-23T00:00:00.000Z</x:v>
      </x:c>
      <x:c r="B30" s="2" t="str">
        <x:v>D01</x:v>
      </x:c>
      <x:c r="C30" s="11" t="n">
        <x:v>116.50999999999999</x:v>
      </x:c>
      <x:c r="D30" s="11" t="n">
        <x:v>11.651</x:v>
      </x:c>
      <x:c r="E30" s="2" t="n">
        <x:v>19</x:v>
      </x:c>
      <x:c r="F30" s="11" t="n">
        <x:v>5</x:v>
      </x:c>
      <x:c r="G30" s="11" t="n">
        <x:f>IF(F30&gt;C30,"",C30-F30)</x:f>
        <x:v>111.50999999999999</x:v>
      </x:c>
      <x:c r="H30" s="11" t="n">
        <x:f>SUMIFS('工单核查'!$G$6:$G$257,'工单核查'!$A$6:$A$257,A30,'工单核查'!$B$6:$B$257,B30)</x:f>
        <x:v>106.19999999999999</x:v>
      </x:c>
      <x:c r="I30" s="11" t="n">
        <x:f>SUMIFS('工单核查'!$I$6:$I$257,'工单核查'!$A$6:$A$257,A30,'工单核查'!$B$6:$B$257,B30)</x:f>
        <x:v>111.51000000000002</x:v>
      </x:c>
      <x:c r="J30" s="12" t="n">
        <x:f>IF(C30=0,"",D30/C30)</x:f>
        <x:v>0.1</x:v>
      </x:c>
      <x:c r="K30" s="2" t="str">
        <x:v>无</x:v>
      </x:c>
      <x:c r="L30" s="11" t="n">
        <x:f>I30-G30</x:f>
        <x:v>2.842170943040401e-14</x:v>
      </x:c>
    </x:row>
    <x:row r="31" ht="22" customHeight="1">
      <x:c r="A31" s="10" t="d">
        <x:v>2026-09-23T00:00:00.000Z</x:v>
      </x:c>
      <x:c r="B31" s="2" t="str">
        <x:v>D02</x:v>
      </x:c>
      <x:c r="C31" s="11" t="n">
        <x:v>74.25</x:v>
      </x:c>
      <x:c r="D31" s="11" t="n">
        <x:v>18.5625</x:v>
      </x:c>
      <x:c r="E31" s="2" t="n">
        <x:v>21</x:v>
      </x:c>
      <x:c r="F31" s="11" t="n">
        <x:v>5.25</x:v>
      </x:c>
      <x:c r="G31" s="11" t="n">
        <x:f>IF(F31&gt;C31,"",C31-F31)</x:f>
        <x:v>69</x:v>
      </x:c>
      <x:c r="H31" s="11" t="n">
        <x:f>SUMIFS('工单核查'!$G$6:$G$257,'工单核查'!$A$6:$A$257,A31,'工单核查'!$B$6:$B$257,B31)</x:f>
        <x:v>60</x:v>
      </x:c>
      <x:c r="I31" s="11" t="n">
        <x:f>SUMIFS('工单核查'!$I$6:$I$257,'工单核查'!$A$6:$A$257,A31,'工单核查'!$B$6:$B$257,B31)</x:f>
        <x:v>69</x:v>
      </x:c>
      <x:c r="J31" s="12" t="n">
        <x:f>IF(C31=0,"",D31/C31)</x:f>
        <x:v>0.25</x:v>
      </x:c>
      <x:c r="K31" s="2" t="str">
        <x:v>无</x:v>
      </x:c>
      <x:c r="L31" s="11" t="n">
        <x:f>I31-G31</x:f>
        <x:v>0</x:v>
      </x:c>
    </x:row>
    <x:row r="32" ht="22" customHeight="1">
      <x:c r="A32" s="10" t="d">
        <x:v>2026-09-23T00:00:00.000Z</x:v>
      </x:c>
      <x:c r="B32" s="2" t="str">
        <x:v>D03</x:v>
      </x:c>
      <x:c r="C32" s="11" t="n">
        <x:v>123.66329999999999</x:v>
      </x:c>
      <x:c r="D32" s="11" t="n">
        <x:v>37.098991</x:v>
      </x:c>
      <x:c r="E32" s="2" t="n">
        <x:v>23</x:v>
      </x:c>
      <x:c r="F32" s="11" t="n">
        <x:v>5.583333333333333</x:v>
      </x:c>
      <x:c r="G32" s="11" t="n">
        <x:f>IF(F32&gt;C32,"",C32-F32)</x:f>
        <x:v>118.07996666666666</x:v>
      </x:c>
      <x:c r="H32" s="11" t="n">
        <x:f>SUMIFS('工单核查'!$G$6:$G$257,'工单核查'!$A$6:$A$257,A32,'工单核查'!$B$6:$B$257,B32)</x:f>
        <x:v>98.4</x:v>
      </x:c>
      <x:c r="I32" s="11" t="n">
        <x:f>SUMIFS('工单核查'!$I$6:$I$257,'工单核查'!$A$6:$A$257,A32,'工单核查'!$B$6:$B$257,B32)</x:f>
        <x:v>118.07996666666665</x:v>
      </x:c>
      <x:c r="J32" s="12" t="n">
        <x:f>IF(C32=0,"",D32/C32)</x:f>
        <x:v>0.30000000808647354</x:v>
      </x:c>
      <x:c r="K32" s="2" t="str">
        <x:v>无</x:v>
      </x:c>
      <x:c r="L32" s="11" t="n">
        <x:f>I32-G32</x:f>
        <x:v>-1.4210854715202004e-14</x:v>
      </x:c>
    </x:row>
    <x:row r="33" ht="22" customHeight="1">
      <x:c r="A33" s="10" t="d">
        <x:v>2026-09-23T00:00:00.000Z</x:v>
      </x:c>
      <x:c r="B33" s="2" t="str">
        <x:v>D04</x:v>
      </x:c>
      <x:c r="C33" s="11" t="n">
        <x:v>91.4633</x:v>
      </x:c>
      <x:c r="D33" s="11" t="n">
        <x:v>4.5731649999999995</x:v>
      </x:c>
      <x:c r="E33" s="2" t="n">
        <x:v>20</x:v>
      </x:c>
      <x:c r="F33" s="11" t="n">
        <x:v>4.583333333333333</x:v>
      </x:c>
      <x:c r="G33" s="11" t="n">
        <x:f>IF(F33&gt;C33,"",C33-F33)</x:f>
        <x:v>86.87996666666668</x:v>
      </x:c>
      <x:c r="H33" s="11" t="n">
        <x:f>SUMIFS('工单核查'!$G$6:$G$257,'工单核查'!$A$6:$A$257,A33,'工单核查'!$B$6:$B$257,B33)</x:f>
        <x:v>108.6</x:v>
      </x:c>
      <x:c r="I33" s="11" t="n">
        <x:f>SUMIFS('工单核查'!$I$6:$I$257,'工单核查'!$A$6:$A$257,A33,'工单核查'!$B$6:$B$257,B33)</x:f>
        <x:v>86.87996666666668</x:v>
      </x:c>
      <x:c r="J33" s="12" t="n">
        <x:f>IF(C33=0,"",D33/C33)</x:f>
        <x:v>0.04999999999999999</x:v>
      </x:c>
      <x:c r="K33" s="2" t="str">
        <x:v>无</x:v>
      </x:c>
      <x:c r="L33" s="11" t="n">
        <x:f>I33-G33</x:f>
        <x:v>0</x:v>
      </x:c>
    </x:row>
    <x:row r="34" ht="22" customHeight="1">
      <x:c r="A34" s="10" t="d">
        <x:v>2026-09-23T00:00:00.000Z</x:v>
      </x:c>
      <x:c r="B34" s="2" t="str">
        <x:v>D05</x:v>
      </x:c>
      <x:c r="C34" s="11" t="n">
        <x:v>110.0933</x:v>
      </x:c>
      <x:c r="D34" s="11" t="n">
        <x:v>22.01866</x:v>
      </x:c>
      <x:c r="E34" s="2" t="n">
        <x:v>17</x:v>
      </x:c>
      <x:c r="F34" s="11" t="n">
        <x:v>5.333333333333333</x:v>
      </x:c>
      <x:c r="G34" s="11" t="n">
        <x:f>IF(F34&gt;C34,"",C34-F34)</x:f>
        <x:v>104.75996666666667</x:v>
      </x:c>
      <x:c r="H34" s="11" t="n">
        <x:f>SUMIFS('工单核查'!$G$6:$G$257,'工单核查'!$A$6:$A$257,A34,'工单核查'!$B$6:$B$257,B34)</x:f>
        <x:v>77.60000000000001</x:v>
      </x:c>
      <x:c r="I34" s="11" t="n">
        <x:f>SUMIFS('工单核查'!$I$6:$I$257,'工单核查'!$A$6:$A$257,A34,'工单核查'!$B$6:$B$257,B34)</x:f>
        <x:v>104.75996666666666</x:v>
      </x:c>
      <x:c r="J34" s="12" t="n">
        <x:f>IF(C34=0,"",D34/C34)</x:f>
        <x:v>0.2</x:v>
      </x:c>
      <x:c r="K34" s="2" t="str">
        <x:v>无</x:v>
      </x:c>
      <x:c r="L34" s="11" t="n">
        <x:f>I34-G34</x:f>
        <x:v>-1.4210854715202004e-14</x:v>
      </x:c>
    </x:row>
    <x:row r="35" ht="22" customHeight="1">
      <x:c r="A35" s="10" t="d">
        <x:v>2026-09-23T00:00:00.000Z</x:v>
      </x:c>
      <x:c r="B35" s="2" t="str">
        <x:v>D06</x:v>
      </x:c>
      <x:c r="C35" s="11" t="n">
        <x:v>56.8233</x:v>
      </x:c>
      <x:c r="D35" s="11" t="n">
        <x:v>22.72932</x:v>
      </x:c>
      <x:c r="E35" s="2" t="n">
        <x:v>19</x:v>
      </x:c>
      <x:c r="F35" s="11" t="n">
        <x:v>5.583333333333333</x:v>
      </x:c>
      <x:c r="G35" s="11" t="n">
        <x:f>IF(F35&gt;C35,"",C35-F35)</x:f>
        <x:v>51.23996666666667</x:v>
      </x:c>
      <x:c r="H35" s="11" t="n">
        <x:f>SUMIFS('工单核查'!$G$6:$G$257,'工单核查'!$A$6:$A$257,A35,'工单核查'!$B$6:$B$257,B35)</x:f>
        <x:v>73.19999999999999</x:v>
      </x:c>
      <x:c r="I35" s="11" t="n">
        <x:f>SUMIFS('工单核查'!$I$6:$I$257,'工单核查'!$A$6:$A$257,A35,'工单核查'!$B$6:$B$257,B35)</x:f>
        <x:v>51.23996666666667</x:v>
      </x:c>
      <x:c r="J35" s="12" t="n">
        <x:f>IF(C35=0,"",D35/C35)</x:f>
        <x:v>0.4</x:v>
      </x:c>
      <x:c r="K35" s="2" t="str">
        <x:v>无</x:v>
      </x:c>
      <x:c r="L35" s="11" t="n">
        <x:f>I35-G35</x:f>
        <x:v>0</x:v>
      </x:c>
    </x:row>
    <x:row r="36" ht="22" customHeight="1">
      <x:c r="A36" s="10" t="d">
        <x:v>2026-09-23T00:00:00.000Z</x:v>
      </x:c>
      <x:c r="B36" s="2" t="str">
        <x:v>D07</x:v>
      </x:c>
      <x:c r="C36" s="11" t="n">
        <x:v>124.61670000000001</x:v>
      </x:c>
      <x:c r="D36" s="11" t="n">
        <x:v>12.461670999999999</x:v>
      </x:c>
      <x:c r="E36" s="2" t="n">
        <x:v>21</x:v>
      </x:c>
      <x:c r="F36" s="11" t="n">
        <x:v>4.916666666666667</x:v>
      </x:c>
      <x:c r="G36" s="11" t="n">
        <x:f>IF(F36&gt;C36,"",C36-F36)</x:f>
        <x:v>119.70003333333334</x:v>
      </x:c>
      <x:c r="H36" s="11" t="n">
        <x:f>SUMIFS('工单核查'!$G$6:$G$257,'工单核查'!$A$6:$A$257,A36,'工单核查'!$B$6:$B$257,B36)</x:f>
        <x:v>126</x:v>
      </x:c>
      <x:c r="I36" s="11" t="n">
        <x:f>SUMIFS('工单核查'!$I$6:$I$257,'工单核查'!$A$6:$A$257,A36,'工单核查'!$B$6:$B$257,B36)</x:f>
        <x:v>119.70003333333334</x:v>
      </x:c>
      <x:c r="J36" s="12" t="n">
        <x:f>IF(C36=0,"",D36/C36)</x:f>
        <x:v>0.10000000802460664</x:v>
      </x:c>
      <x:c r="K36" s="2" t="str">
        <x:v>无</x:v>
      </x:c>
      <x:c r="L36" s="11" t="n">
        <x:f>I36-G36</x:f>
        <x:v>0</x:v>
      </x:c>
    </x:row>
    <x:row r="37" ht="22" customHeight="1">
      <x:c r="A37" s="10" t="d">
        <x:v>2026-09-23T00:00:00.000Z</x:v>
      </x:c>
      <x:c r="B37" s="2" t="str">
        <x:v>D08</x:v>
      </x:c>
      <x:c r="C37" s="11" t="n">
        <x:v>115.0367</x:v>
      </x:c>
      <x:c r="D37" s="11" t="n">
        <x:v>28.759175</x:v>
      </x:c>
      <x:c r="E37" s="2" t="n">
        <x:v>23</x:v>
      </x:c>
      <x:c r="F37" s="11" t="n">
        <x:v>5.416666666666666</x:v>
      </x:c>
      <x:c r="G37" s="11" t="n">
        <x:f>IF(F37&gt;C37,"",C37-F37)</x:f>
        <x:v>109.62003333333332</x:v>
      </x:c>
      <x:c r="H37" s="11" t="n">
        <x:f>SUMIFS('工单核查'!$G$6:$G$257,'工单核查'!$A$6:$A$257,A37,'工单核查'!$B$6:$B$257,B37)</x:f>
        <x:v>104.4</x:v>
      </x:c>
      <x:c r="I37" s="11" t="n">
        <x:f>SUMIFS('工单核查'!$I$6:$I$257,'工单核查'!$A$6:$A$257,A37,'工单核查'!$B$6:$B$257,B37)</x:f>
        <x:v>109.62003333333332</x:v>
      </x:c>
      <x:c r="J37" s="12" t="n">
        <x:f>IF(C37=0,"",D37/C37)</x:f>
        <x:v>0.25</x:v>
      </x:c>
      <x:c r="K37" s="2" t="str">
        <x:v>无</x:v>
      </x:c>
      <x:c r="L37" s="11" t="n">
        <x:f>I37-G37</x:f>
        <x:v>0</x:v>
      </x:c>
    </x:row>
    <x:row r="38" ht="22" customHeight="1">
      <x:c r="A38" s="10" t="d">
        <x:v>2026-09-23T00:00:00.000Z</x:v>
      </x:c>
      <x:c r="B38" s="2" t="str">
        <x:v>D09</x:v>
      </x:c>
      <x:c r="C38" s="11" t="n">
        <x:v>69.1867</x:v>
      </x:c>
      <x:c r="D38" s="11" t="n">
        <x:v>20.756011</x:v>
      </x:c>
      <x:c r="E38" s="2" t="n">
        <x:v>20</x:v>
      </x:c>
      <x:c r="F38" s="11" t="n">
        <x:v>6.166666666666666</x:v>
      </x:c>
      <x:c r="G38" s="11" t="n">
        <x:f>IF(F38&gt;C38,"",C38-F38)</x:f>
        <x:v>63.02003333333334</x:v>
      </x:c>
      <x:c r="H38" s="11" t="n">
        <x:f>SUMIFS('工单核查'!$G$6:$G$257,'工单核查'!$A$6:$A$257,A38,'工单核查'!$B$6:$B$257,B38)</x:f>
        <x:v>54.800000000000004</x:v>
      </x:c>
      <x:c r="I38" s="11" t="n">
        <x:f>SUMIFS('工单核查'!$I$6:$I$257,'工单核查'!$A$6:$A$257,A38,'工单核查'!$B$6:$B$257,B38)</x:f>
        <x:v>63.02003333333333</x:v>
      </x:c>
      <x:c r="J38" s="12" t="n">
        <x:f>IF(C38=0,"",D38/C38)</x:f>
        <x:v>0.300000014453645</x:v>
      </x:c>
      <x:c r="K38" s="2" t="str">
        <x:v>无</x:v>
      </x:c>
      <x:c r="L38" s="11" t="n">
        <x:f>I38-G38</x:f>
        <x:v>-7.105427357601002e-15</x:v>
      </x:c>
    </x:row>
    <x:row r="39" ht="22" customHeight="1">
      <x:c r="A39" s="10" t="d">
        <x:v>2026-09-23T00:00:00.000Z</x:v>
      </x:c>
      <x:c r="B39" s="2" t="str">
        <x:v>D10</x:v>
      </x:c>
      <x:c r="C39" s="11" t="n">
        <x:v>130.9467</x:v>
      </x:c>
      <x:c r="D39" s="11" t="n">
        <x:v>6.547335</x:v>
      </x:c>
      <x:c r="E39" s="2" t="n">
        <x:v>17</x:v>
      </x:c>
      <x:c r="F39" s="11" t="n">
        <x:v>5.666666666666666</x:v>
      </x:c>
      <x:c r="G39" s="11" t="n">
        <x:f>IF(F39&gt;C39,"",C39-F39)</x:f>
        <x:v>125.28003333333332</x:v>
      </x:c>
      <x:c r="H39" s="11" t="n">
        <x:f>SUMIFS('工单核查'!$G$6:$G$257,'工单核查'!$A$6:$A$257,A39,'工单核查'!$B$6:$B$257,B39)</x:f>
        <x:v>104.39999999999999</x:v>
      </x:c>
      <x:c r="I39" s="11" t="n">
        <x:f>SUMIFS('工单核查'!$I$6:$I$257,'工单核查'!$A$6:$A$257,A39,'工单核查'!$B$6:$B$257,B39)</x:f>
        <x:v>125.28003333333334</x:v>
      </x:c>
      <x:c r="J39" s="12" t="n">
        <x:f>IF(C39=0,"",D39/C39)</x:f>
        <x:v>0.05</x:v>
      </x:c>
      <x:c r="K39" s="2" t="str">
        <x:v>无</x:v>
      </x:c>
      <x:c r="L39" s="11" t="n">
        <x:f>I39-G39</x:f>
        <x:v>1.4210854715202004e-14</x:v>
      </x:c>
    </x:row>
    <x:row r="40" ht="22" customHeight="1">
      <x:c r="A40" s="10" t="d">
        <x:v>2026-09-23T00:00:00.000Z</x:v>
      </x:c>
      <x:c r="B40" s="2" t="str">
        <x:v>D11</x:v>
      </x:c>
      <x:c r="C40" s="11" t="n">
        <x:v>67.12</x:v>
      </x:c>
      <x:c r="D40" s="11" t="n">
        <x:v>13.424</x:v>
      </x:c>
      <x:c r="E40" s="2" t="n">
        <x:v>19</x:v>
      </x:c>
      <x:c r="F40" s="11" t="n">
        <x:v>6</x:v>
      </x:c>
      <x:c r="G40" s="11" t="n">
        <x:f>IF(F40&gt;C40,"",C40-F40)</x:f>
        <x:v>61.120000000000005</x:v>
      </x:c>
      <x:c r="H40" s="11" t="n">
        <x:f>SUMIFS('工单核查'!$G$6:$G$257,'工单核查'!$A$6:$A$257,A40,'工单核查'!$B$6:$B$257,B40)</x:f>
        <x:v>76.4</x:v>
      </x:c>
      <x:c r="I40" s="11" t="n">
        <x:f>SUMIFS('工单核查'!$I$6:$I$257,'工单核查'!$A$6:$A$257,A40,'工单核查'!$B$6:$B$257,B40)</x:f>
        <x:v>61.12</x:v>
      </x:c>
      <x:c r="J40" s="12" t="n">
        <x:f>IF(C40=0,"",D40/C40)</x:f>
        <x:v>0.19999999999999998</x:v>
      </x:c>
      <x:c r="K40" s="2" t="str">
        <x:v>无</x:v>
      </x:c>
      <x:c r="L40" s="11" t="n">
        <x:f>I40-G40</x:f>
        <x:v>-7.105427357601002e-15</x:v>
      </x:c>
    </x:row>
    <x:row r="41" ht="22" customHeight="1">
      <x:c r="A41" s="10" t="d">
        <x:v>2026-09-23T00:00:00.000Z</x:v>
      </x:c>
      <x:c r="B41" s="2" t="str">
        <x:v>D12</x:v>
      </x:c>
      <x:c r="C41" s="11" t="n">
        <x:v>143.66000000000003</x:v>
      </x:c>
      <x:c r="D41" s="11" t="n">
        <x:v>57.464</x:v>
      </x:c>
      <x:c r="E41" s="2" t="n">
        <x:v>21</x:v>
      </x:c>
      <x:c r="F41" s="11" t="n">
        <x:v>6.5</x:v>
      </x:c>
      <x:c r="G41" s="11" t="n">
        <x:f>IF(F41&gt;C41,"",C41-F41)</x:f>
        <x:v>137.16000000000003</x:v>
      </x:c>
      <x:c r="H41" s="11" t="n">
        <x:f>SUMIFS('工单核查'!$G$6:$G$257,'工单核查'!$A$6:$A$257,A41,'工单核查'!$B$6:$B$257,B41)</x:f>
        <x:v>101.6</x:v>
      </x:c>
      <x:c r="I41" s="11" t="n">
        <x:f>SUMIFS('工单核查'!$I$6:$I$257,'工单核查'!$A$6:$A$257,A41,'工单核查'!$B$6:$B$257,B41)</x:f>
        <x:v>137.16000000000003</x:v>
      </x:c>
      <x:c r="J41" s="12" t="n">
        <x:f>IF(C41=0,"",D41/C41)</x:f>
        <x:v>0.3999999999999999</x:v>
      </x:c>
      <x:c r="K41" s="2" t="str">
        <x:v>无</x:v>
      </x:c>
      <x:c r="L41" s="11" t="n">
        <x:f>I41-G41</x:f>
        <x:v>0</x:v>
      </x:c>
    </x:row>
    <x:row r="42" ht="22" customHeight="1">
      <x:c r="A42" s="10" t="d">
        <x:v>2026-09-24T00:00:00.000Z</x:v>
      </x:c>
      <x:c r="B42" s="2" t="str">
        <x:v>D01</x:v>
      </x:c>
      <x:c r="C42" s="11" t="n">
        <x:v>81.58</x:v>
      </x:c>
      <x:c r="D42" s="11" t="n">
        <x:v>8.158000000000001</x:v>
      </x:c>
      <x:c r="E42" s="2" t="n">
        <x:v>23</x:v>
      </x:c>
      <x:c r="F42" s="11" t="n">
        <x:v>5</x:v>
      </x:c>
      <x:c r="G42" s="11" t="n">
        <x:f>IF(F42&gt;C42,"",C42-F42)</x:f>
        <x:v>76.58</x:v>
      </x:c>
      <x:c r="H42" s="11" t="n">
        <x:f>SUMIFS('工单核查'!$G$6:$G$257,'工单核查'!$A$6:$A$257,A42,'工单核查'!$B$6:$B$257,B42)</x:f>
        <x:v>109.4</x:v>
      </x:c>
      <x:c r="I42" s="11" t="n">
        <x:f>SUMIFS('工单核查'!$I$6:$I$257,'工单核查'!$A$6:$A$257,A42,'工单核查'!$B$6:$B$257,B42)</x:f>
        <x:v>76.57999999999998</x:v>
      </x:c>
      <x:c r="J42" s="12" t="n">
        <x:f>IF(C42=0,"",D42/C42)</x:f>
        <x:v>0.10000000000000002</x:v>
      </x:c>
      <x:c r="K42" s="2" t="str">
        <x:v>无</x:v>
      </x:c>
      <x:c r="L42" s="11" t="n">
        <x:f>I42-G42</x:f>
        <x:v>-1.4210854715202004e-14</x:v>
      </x:c>
    </x:row>
    <x:row r="43" ht="22" customHeight="1">
      <x:c r="A43" s="10" t="d">
        <x:v>2026-09-24T00:00:00.000Z</x:v>
      </x:c>
      <x:c r="B43" s="2" t="str">
        <x:v>D02</x:v>
      </x:c>
      <x:c r="C43" s="11" t="n">
        <x:v>46.67</x:v>
      </x:c>
      <x:c r="D43" s="11" t="n">
        <x:v>11.6675</x:v>
      </x:c>
      <x:c r="E43" s="2" t="n">
        <x:v>20</x:v>
      </x:c>
      <x:c r="F43" s="11" t="n">
        <x:v>5.25</x:v>
      </x:c>
      <x:c r="G43" s="11" t="n">
        <x:f>IF(F43&gt;C43,"",C43-F43)</x:f>
        <x:v>41.42</x:v>
      </x:c>
      <x:c r="H43" s="11" t="n">
        <x:f>SUMIFS('工单核查'!$G$6:$G$257,'工单核查'!$A$6:$A$257,A43,'工单核查'!$B$6:$B$257,B43)</x:f>
        <x:v>43.6</x:v>
      </x:c>
      <x:c r="I43" s="11" t="n">
        <x:f>SUMIFS('工单核查'!$I$6:$I$257,'工单核查'!$A$6:$A$257,A43,'工单核查'!$B$6:$B$257,B43)</x:f>
        <x:v>41.42</x:v>
      </x:c>
      <x:c r="J43" s="12" t="n">
        <x:f>IF(C43=0,"",D43/C43)</x:f>
        <x:v>0.25</x:v>
      </x:c>
      <x:c r="K43" s="2" t="str">
        <x:v>无</x:v>
      </x:c>
      <x:c r="L43" s="11" t="n">
        <x:f>I43-G43</x:f>
        <x:v>0</x:v>
      </x:c>
    </x:row>
    <x:row r="44" ht="22" customHeight="1">
      <x:c r="A44" s="10" t="d">
        <x:v>2026-09-24T00:00:00.000Z</x:v>
      </x:c>
      <x:c r="B44" s="2" t="str">
        <x:v>D03</x:v>
      </x:c>
      <x:c r="C44" s="11" t="n">
        <x:v>94.6233</x:v>
      </x:c>
      <x:c r="D44" s="11" t="n">
        <x:v>28.386991000000002</x:v>
      </x:c>
      <x:c r="E44" s="2" t="n">
        <x:v>17</x:v>
      </x:c>
      <x:c r="F44" s="11" t="n">
        <x:v>5.583333333333333</x:v>
      </x:c>
      <x:c r="G44" s="11" t="n">
        <x:f>IF(F44&gt;C44,"",C44-F44)</x:f>
        <x:v>89.03996666666667</x:v>
      </x:c>
      <x:c r="H44" s="11" t="n">
        <x:f>SUMIFS('工单核查'!$G$6:$G$257,'工单核查'!$A$6:$A$257,A44,'工单核查'!$B$6:$B$257,B44)</x:f>
        <x:v>84.8</x:v>
      </x:c>
      <x:c r="I44" s="11" t="n">
        <x:f>SUMIFS('工单核查'!$I$6:$I$257,'工单核查'!$A$6:$A$257,A44,'工单核查'!$B$6:$B$257,B44)</x:f>
        <x:v>89.03996666666667</x:v>
      </x:c>
      <x:c r="J44" s="12" t="n">
        <x:f>IF(C44=0,"",D44/C44)</x:f>
        <x:v>0.30000001056822156</x:v>
      </x:c>
      <x:c r="K44" s="2" t="str">
        <x:v>无</x:v>
      </x:c>
      <x:c r="L44" s="11" t="n">
        <x:f>I44-G44</x:f>
        <x:v>0</x:v>
      </x:c>
    </x:row>
    <x:row r="45" ht="22" customHeight="1">
      <x:c r="A45" s="10" t="d">
        <x:v>2026-09-24T00:00:00.000Z</x:v>
      </x:c>
      <x:c r="B45" s="2" t="str">
        <x:v>D04</x:v>
      </x:c>
      <x:c r="C45" s="11" t="n">
        <x:v>119.58330000000001</x:v>
      </x:c>
      <x:c r="D45" s="11" t="n">
        <x:v>5.979165</x:v>
      </x:c>
      <x:c r="E45" s="2" t="n">
        <x:v>19</x:v>
      </x:c>
      <x:c r="F45" s="11" t="n">
        <x:v>4.583333333333333</x:v>
      </x:c>
      <x:c r="G45" s="11" t="n">
        <x:f>IF(F45&gt;C45,"",C45-F45)</x:f>
        <x:v>114.99996666666668</x:v>
      </x:c>
      <x:c r="H45" s="11" t="n">
        <x:f>SUMIFS('工单核查'!$G$6:$G$257,'工单核查'!$A$6:$A$257,A45,'工单核查'!$B$6:$B$257,B45)</x:f>
        <x:v>100</x:v>
      </x:c>
      <x:c r="I45" s="11" t="n">
        <x:f>SUMIFS('工单核查'!$I$6:$I$257,'工单核查'!$A$6:$A$257,A45,'工单核查'!$B$6:$B$257,B45)</x:f>
        <x:v>114.99996666666668</x:v>
      </x:c>
      <x:c r="J45" s="12" t="n">
        <x:f>IF(C45=0,"",D45/C45)</x:f>
        <x:v>0.049999999999999996</x:v>
      </x:c>
      <x:c r="K45" s="2" t="str">
        <x:v>无</x:v>
      </x:c>
      <x:c r="L45" s="11" t="n">
        <x:f>I45-G45</x:f>
        <x:v>0</x:v>
      </x:c>
    </x:row>
    <x:row r="46" ht="22" customHeight="1">
      <x:c r="A46" s="10" t="d">
        <x:v>2026-09-24T00:00:00.000Z</x:v>
      </x:c>
      <x:c r="B46" s="2" t="str">
        <x:v>D05</x:v>
      </x:c>
      <x:c r="C46" s="11" t="n">
        <x:v>68.2133</x:v>
      </x:c>
      <x:c r="D46" s="11" t="n">
        <x:v>13.64266</x:v>
      </x:c>
      <x:c r="E46" s="2" t="n">
        <x:v>21</x:v>
      </x:c>
      <x:c r="F46" s="11" t="n">
        <x:v>5.333333333333333</x:v>
      </x:c>
      <x:c r="G46" s="11" t="n">
        <x:f>IF(F46&gt;C46,"",C46-F46)</x:f>
        <x:v>62.87996666666667</x:v>
      </x:c>
      <x:c r="H46" s="11" t="n">
        <x:f>SUMIFS('工单核查'!$G$6:$G$257,'工单核查'!$A$6:$A$257,A46,'工单核查'!$B$6:$B$257,B46)</x:f>
        <x:v>52.4</x:v>
      </x:c>
      <x:c r="I46" s="11" t="n">
        <x:f>SUMIFS('工单核查'!$I$6:$I$257,'工单核查'!$A$6:$A$257,A46,'工单核查'!$B$6:$B$257,B46)</x:f>
        <x:v>62.879966666666675</x:v>
      </x:c>
      <x:c r="J46" s="12" t="n">
        <x:f>IF(C46=0,"",D46/C46)</x:f>
        <x:v>0.19999999999999998</x:v>
      </x:c>
      <x:c r="K46" s="2" t="str">
        <x:v>无</x:v>
      </x:c>
      <x:c r="L46" s="11" t="n">
        <x:f>I46-G46</x:f>
        <x:v>7.105427357601002e-15</x:v>
      </x:c>
    </x:row>
    <x:row r="47" ht="22" customHeight="1">
      <x:c r="A47" s="10" t="d">
        <x:v>2026-09-24T00:00:00.000Z</x:v>
      </x:c>
      <x:c r="B47" s="2" t="str">
        <x:v>D06</x:v>
      </x:c>
      <x:c r="C47" s="11" t="n">
        <x:v>90.7033</x:v>
      </x:c>
      <x:c r="D47" s="11" t="n">
        <x:v>36.28132</x:v>
      </x:c>
      <x:c r="E47" s="2" t="n">
        <x:v>23</x:v>
      </x:c>
      <x:c r="F47" s="11" t="n">
        <x:v>5.583333333333333</x:v>
      </x:c>
      <x:c r="G47" s="11" t="n">
        <x:f>IF(F47&gt;C47,"",C47-F47)</x:f>
        <x:v>85.11996666666667</x:v>
      </x:c>
      <x:c r="H47" s="11" t="n">
        <x:f>SUMIFS('工单核查'!$G$6:$G$257,'工单核查'!$A$6:$A$257,A47,'工单核查'!$B$6:$B$257,B47)</x:f>
        <x:v>106.39999999999999</x:v>
      </x:c>
      <x:c r="I47" s="11" t="n">
        <x:f>SUMIFS('工单核查'!$I$6:$I$257,'工单核查'!$A$6:$A$257,A47,'工单核查'!$B$6:$B$257,B47)</x:f>
        <x:v>85.11996666666667</x:v>
      </x:c>
      <x:c r="J47" s="12" t="n">
        <x:f>IF(C47=0,"",D47/C47)</x:f>
        <x:v>0.4</x:v>
      </x:c>
      <x:c r="K47" s="2" t="str">
        <x:v>无</x:v>
      </x:c>
      <x:c r="L47" s="11" t="n">
        <x:f>I47-G47</x:f>
        <x:v>0</x:v>
      </x:c>
    </x:row>
    <x:row r="48" ht="22" customHeight="1">
      <x:c r="A48" s="10" t="d">
        <x:v>2026-09-24T00:00:00.000Z</x:v>
      </x:c>
      <x:c r="B48" s="2" t="str">
        <x:v>D07</x:v>
      </x:c>
      <x:c r="C48" s="11" t="n">
        <x:v>100.76669999999999</x:v>
      </x:c>
      <x:c r="D48" s="11" t="n">
        <x:v>10.076671000000001</x:v>
      </x:c>
      <x:c r="E48" s="2" t="n">
        <x:v>20</x:v>
      </x:c>
      <x:c r="F48" s="11" t="n">
        <x:v>4.916666666666667</x:v>
      </x:c>
      <x:c r="G48" s="11" t="n">
        <x:f>IF(F48&gt;C48,"",C48-F48)</x:f>
        <x:v>95.85003333333331</x:v>
      </x:c>
      <x:c r="H48" s="11" t="n">
        <x:f>SUMIFS('工单核查'!$G$6:$G$257,'工单核查'!$A$6:$A$257,A48,'工单核查'!$B$6:$B$257,B48)</x:f>
        <x:v>71</x:v>
      </x:c>
      <x:c r="I48" s="11" t="n">
        <x:f>SUMIFS('工单核查'!$I$6:$I$257,'工单核查'!$A$6:$A$257,A48,'工单核查'!$B$6:$B$257,B48)</x:f>
        <x:v>95.8500333333333</x:v>
      </x:c>
      <x:c r="J48" s="12" t="n">
        <x:f>IF(C48=0,"",D48/C48)</x:f>
        <x:v>0.10000000992391338</x:v>
      </x:c>
      <x:c r="K48" s="2" t="str">
        <x:v>无</x:v>
      </x:c>
      <x:c r="L48" s="11" t="n">
        <x:f>I48-G48</x:f>
        <x:v>-1.4210854715202004e-14</x:v>
      </x:c>
    </x:row>
    <x:row r="49" ht="22" customHeight="1">
      <x:c r="A49" s="10" t="d">
        <x:v>2026-09-24T00:00:00.000Z</x:v>
      </x:c>
      <x:c r="B49" s="2" t="str">
        <x:v>D08</x:v>
      </x:c>
      <x:c r="C49" s="11" t="n">
        <x:v>25.136699999999998</x:v>
      </x:c>
      <x:c r="D49" s="11" t="n">
        <x:v>6.284174999999999</x:v>
      </x:c>
      <x:c r="E49" s="2" t="n">
        <x:v>17</x:v>
      </x:c>
      <x:c r="F49" s="11" t="n">
        <x:v>5.416666666666666</x:v>
      </x:c>
      <x:c r="G49" s="11" t="n">
        <x:f>IF(F49&gt;C49,"",C49-F49)</x:f>
        <x:v>19.720033333333333</x:v>
      </x:c>
      <x:c r="H49" s="11" t="n">
        <x:f>SUMIFS('工单核查'!$G$6:$G$257,'工单核查'!$A$6:$A$257,A49,'工单核查'!$B$6:$B$257,B49)</x:f>
        <x:v>49.3</x:v>
      </x:c>
      <x:c r="I49" s="11" t="n">
        <x:f>SUMIFS('工单核查'!$I$6:$I$257,'工单核查'!$A$6:$A$257,A49,'工单核查'!$B$6:$B$257,B49)</x:f>
        <x:v>19.720033333333333</x:v>
      </x:c>
      <x:c r="J49" s="12" t="n">
        <x:f>IF(C49=0,"",D49/C49)</x:f>
        <x:v>0.25</x:v>
      </x:c>
      <x:c r="K49" s="2" t="str">
        <x:v>无</x:v>
      </x:c>
      <x:c r="L49" s="11" t="n">
        <x:f>I49-G49</x:f>
        <x:v>0</x:v>
      </x:c>
    </x:row>
    <x:row r="50" ht="22" customHeight="1">
      <x:c r="A50" s="10" t="d">
        <x:v>2026-09-24T00:00:00.000Z</x:v>
      </x:c>
      <x:c r="B50" s="2" t="str">
        <x:v>D09</x:v>
      </x:c>
      <x:c r="C50" s="11" t="n">
        <x:v>68.86670000000001</x:v>
      </x:c>
      <x:c r="D50" s="11" t="n">
        <x:v>20.660009</x:v>
      </x:c>
      <x:c r="E50" s="2" t="n">
        <x:v>19</x:v>
      </x:c>
      <x:c r="F50" s="11" t="n">
        <x:v>6.166666666666666</x:v>
      </x:c>
      <x:c r="G50" s="11" t="n">
        <x:f>IF(F50&gt;C50,"",C50-F50)</x:f>
        <x:v>62.700033333333344</x:v>
      </x:c>
      <x:c r="H50" s="11" t="n">
        <x:f>SUMIFS('工单核查'!$G$6:$G$257,'工单核查'!$A$6:$A$257,A50,'工单核查'!$B$6:$B$257,B50)</x:f>
        <x:v>66</x:v>
      </x:c>
      <x:c r="I50" s="11" t="n">
        <x:f>SUMIFS('工单核查'!$I$6:$I$257,'工单核查'!$A$6:$A$257,A50,'工单核查'!$B$6:$B$257,B50)</x:f>
        <x:v>62.700033333333344</x:v>
      </x:c>
      <x:c r="J50" s="12" t="n">
        <x:f>IF(C50=0,"",D50/C50)</x:f>
        <x:v>0.2999999854791938</x:v>
      </x:c>
      <x:c r="K50" s="2" t="str">
        <x:v>无</x:v>
      </x:c>
      <x:c r="L50" s="11" t="n">
        <x:f>I50-G50</x:f>
        <x:v>0</x:v>
      </x:c>
    </x:row>
    <x:row r="51" ht="22" customHeight="1">
      <x:c r="A51" s="10" t="d">
        <x:v>2026-09-24T00:00:00.000Z</x:v>
      </x:c>
      <x:c r="B51" s="2" t="str">
        <x:v>D10</x:v>
      </x:c>
      <x:c r="C51" s="11" t="n">
        <x:v>83.7867</x:v>
      </x:c>
      <x:c r="D51" s="11" t="n">
        <x:v>4.189335</x:v>
      </x:c>
      <x:c r="E51" s="2" t="n">
        <x:v>21</x:v>
      </x:c>
      <x:c r="F51" s="11" t="n">
        <x:v>5.666666666666666</x:v>
      </x:c>
      <x:c r="G51" s="11" t="n">
        <x:f>IF(F51&gt;C51,"",C51-F51)</x:f>
        <x:v>78.12003333333332</x:v>
      </x:c>
      <x:c r="H51" s="11" t="n">
        <x:f>SUMIFS('工单核查'!$G$6:$G$257,'工单核查'!$A$6:$A$257,A51,'工单核查'!$B$6:$B$257,B51)</x:f>
        <x:v>74.4</x:v>
      </x:c>
      <x:c r="I51" s="11" t="n">
        <x:f>SUMIFS('工单核查'!$I$6:$I$257,'工单核查'!$A$6:$A$257,A51,'工单核查'!$B$6:$B$257,B51)</x:f>
        <x:v>78.12003333333331</x:v>
      </x:c>
      <x:c r="J51" s="12" t="n">
        <x:f>IF(C51=0,"",D51/C51)</x:f>
        <x:v>0.05</x:v>
      </x:c>
      <x:c r="K51" s="2" t="str">
        <x:v>无</x:v>
      </x:c>
      <x:c r="L51" s="11" t="n">
        <x:f>I51-G51</x:f>
        <x:v>-1.4210854715202004e-14</x:v>
      </x:c>
    </x:row>
    <x:row r="52" ht="22" customHeight="1">
      <x:c r="A52" s="10" t="d">
        <x:v>2026-09-24T00:00:00.000Z</x:v>
      </x:c>
      <x:c r="B52" s="2" t="str">
        <x:v>D11</x:v>
      </x:c>
      <x:c r="C52" s="11" t="n">
        <x:v>76.38</x:v>
      </x:c>
      <x:c r="D52" s="11" t="n">
        <x:v>15.276</x:v>
      </x:c>
      <x:c r="E52" s="2" t="n">
        <x:v>23</x:v>
      </x:c>
      <x:c r="F52" s="11" t="n">
        <x:v>6</x:v>
      </x:c>
      <x:c r="G52" s="11" t="n">
        <x:f>IF(F52&gt;C52,"",C52-F52)</x:f>
        <x:v>70.38</x:v>
      </x:c>
      <x:c r="H52" s="11" t="n">
        <x:f>SUMIFS('工单核查'!$G$6:$G$257,'工单核查'!$A$6:$A$257,A52,'工单核查'!$B$6:$B$257,B52)</x:f>
        <x:v>61.2</x:v>
      </x:c>
      <x:c r="I52" s="11" t="n">
        <x:f>SUMIFS('工单核查'!$I$6:$I$257,'工单核查'!$A$6:$A$257,A52,'工单核查'!$B$6:$B$257,B52)</x:f>
        <x:v>70.38</x:v>
      </x:c>
      <x:c r="J52" s="12" t="n">
        <x:f>IF(C52=0,"",D52/C52)</x:f>
        <x:v>0.2</x:v>
      </x:c>
      <x:c r="K52" s="2" t="str">
        <x:v>无</x:v>
      </x:c>
      <x:c r="L52" s="11" t="n">
        <x:f>I52-G52</x:f>
        <x:v>0</x:v>
      </x:c>
    </x:row>
    <x:row r="53" ht="22" customHeight="1">
      <x:c r="A53" s="10" t="d">
        <x:v>2026-09-24T00:00:00.000Z</x:v>
      </x:c>
      <x:c r="B53" s="2" t="str">
        <x:v>D12</x:v>
      </x:c>
      <x:c r="C53" s="11" t="n">
        <x:v>82.82</x:v>
      </x:c>
      <x:c r="D53" s="11" t="n">
        <x:v>33.128</x:v>
      </x:c>
      <x:c r="E53" s="2" t="n">
        <x:v>20</x:v>
      </x:c>
      <x:c r="F53" s="11" t="n">
        <x:v>6.5</x:v>
      </x:c>
      <x:c r="G53" s="11" t="n">
        <x:f>IF(F53&gt;C53,"",C53-F53)</x:f>
        <x:v>76.32</x:v>
      </x:c>
      <x:c r="H53" s="11" t="n">
        <x:f>SUMIFS('工单核查'!$G$6:$G$257,'工单核查'!$A$6:$A$257,A53,'工单核查'!$B$6:$B$257,B53)</x:f>
        <x:v>63.6</x:v>
      </x:c>
      <x:c r="I53" s="11" t="n">
        <x:f>SUMIFS('工单核查'!$I$6:$I$257,'工单核查'!$A$6:$A$257,A53,'工单核查'!$B$6:$B$257,B53)</x:f>
        <x:v>76.32</x:v>
      </x:c>
      <x:c r="J53" s="12" t="n">
        <x:f>IF(C53=0,"",D53/C53)</x:f>
        <x:v>0.4</x:v>
      </x:c>
      <x:c r="K53" s="2" t="str">
        <x:v>无</x:v>
      </x:c>
      <x:c r="L53" s="11" t="n">
        <x:f>I53-G53</x:f>
        <x:v>0</x:v>
      </x:c>
    </x:row>
    <x:row r="54" ht="22" customHeight="1">
      <x:c r="A54" s="10" t="d">
        <x:v>2026-09-25T00:00:00.000Z</x:v>
      </x:c>
      <x:c r="B54" s="2" t="str">
        <x:v>D01</x:v>
      </x:c>
      <x:c r="C54" s="11" t="n">
        <x:v>91.08</x:v>
      </x:c>
      <x:c r="D54" s="11" t="n">
        <x:v>9.108</x:v>
      </x:c>
      <x:c r="E54" s="2" t="n">
        <x:v>17</x:v>
      </x:c>
      <x:c r="F54" s="11" t="n">
        <x:v>5</x:v>
      </x:c>
      <x:c r="G54" s="11" t="n">
        <x:f>IF(F54&gt;C54,"",C54-F54)</x:f>
        <x:v>86.08</x:v>
      </x:c>
      <x:c r="H54" s="11" t="n">
        <x:f>SUMIFS('工单核查'!$G$6:$G$257,'工单核查'!$A$6:$A$257,A54,'工单核查'!$B$6:$B$257,B54)</x:f>
        <x:v>107.6</x:v>
      </x:c>
      <x:c r="I54" s="11" t="n">
        <x:f>SUMIFS('工单核查'!$I$6:$I$257,'工单核查'!$A$6:$A$257,A54,'工单核查'!$B$6:$B$257,B54)</x:f>
        <x:v>86.08</x:v>
      </x:c>
      <x:c r="J54" s="12" t="n">
        <x:f>IF(C54=0,"",D54/C54)</x:f>
        <x:v>0.1</x:v>
      </x:c>
      <x:c r="K54" s="2" t="str">
        <x:v>无</x:v>
      </x:c>
      <x:c r="L54" s="11" t="n">
        <x:f>I54-G54</x:f>
        <x:v>0</x:v>
      </x:c>
    </x:row>
    <x:row r="55" ht="22" customHeight="1">
      <x:c r="A55" s="10" t="d">
        <x:v>2026-09-25T00:00:00.000Z</x:v>
      </x:c>
      <x:c r="B55" s="2" t="str">
        <x:v>D02</x:v>
      </x:c>
      <x:c r="C55" s="11" t="n">
        <x:v>96.50999999999999</x:v>
      </x:c>
      <x:c r="D55" s="11" t="n">
        <x:v>24.127499999999998</x:v>
      </x:c>
      <x:c r="E55" s="2" t="n">
        <x:v>19</x:v>
      </x:c>
      <x:c r="F55" s="11" t="n">
        <x:v>5.25</x:v>
      </x:c>
      <x:c r="G55" s="11" t="n">
        <x:f>IF(F55&gt;C55,"",C55-F55)</x:f>
        <x:v>91.25999999999999</x:v>
      </x:c>
      <x:c r="H55" s="11" t="n">
        <x:f>SUMIFS('工单核查'!$G$6:$G$257,'工单核查'!$A$6:$A$257,A55,'工单核查'!$B$6:$B$257,B55)</x:f>
        <x:v>67.6</x:v>
      </x:c>
      <x:c r="I55" s="11" t="n">
        <x:f>SUMIFS('工单核查'!$I$6:$I$257,'工单核查'!$A$6:$A$257,A55,'工单核查'!$B$6:$B$257,B55)</x:f>
        <x:v>91.25999999999999</x:v>
      </x:c>
      <x:c r="J55" s="12" t="n">
        <x:f>IF(C55=0,"",D55/C55)</x:f>
        <x:v>0.25</x:v>
      </x:c>
      <x:c r="K55" s="2" t="str">
        <x:v>无</x:v>
      </x:c>
      <x:c r="L55" s="11" t="n">
        <x:f>I55-G55</x:f>
        <x:v>0</x:v>
      </x:c>
    </x:row>
    <x:row r="56" ht="22" customHeight="1">
      <x:c r="A56" s="10" t="d">
        <x:v>2026-09-25T00:00:00.000Z</x:v>
      </x:c>
      <x:c r="B56" s="2" t="str">
        <x:v>D03</x:v>
      </x:c>
      <x:c r="C56" s="11" t="n">
        <x:v>96.0233</x:v>
      </x:c>
      <x:c r="D56" s="11" t="n">
        <x:v>28.80699</x:v>
      </x:c>
      <x:c r="E56" s="2" t="n">
        <x:v>21</x:v>
      </x:c>
      <x:c r="F56" s="11" t="n">
        <x:v>5.583333333333333</x:v>
      </x:c>
      <x:c r="G56" s="11" t="n">
        <x:f>IF(F56&gt;C56,"",C56-F56)</x:f>
        <x:v>90.43996666666668</x:v>
      </x:c>
      <x:c r="H56" s="11" t="n">
        <x:f>SUMIFS('工单核查'!$G$6:$G$257,'工单核查'!$A$6:$A$257,A56,'工单核查'!$B$6:$B$257,B56)</x:f>
        <x:v>129.2</x:v>
      </x:c>
      <x:c r="I56" s="11" t="n">
        <x:f>SUMIFS('工单核查'!$I$6:$I$257,'工单核查'!$A$6:$A$257,A56,'工单核查'!$B$6:$B$257,B56)</x:f>
        <x:v>90.43996666666669</x:v>
      </x:c>
      <x:c r="J56" s="12" t="n">
        <x:f>IF(C56=0,"",D56/C56)</x:f>
        <x:v>0.3</x:v>
      </x:c>
      <x:c r="K56" s="2" t="str">
        <x:v>无</x:v>
      </x:c>
      <x:c r="L56" s="11" t="n">
        <x:f>I56-G56</x:f>
        <x:v>1.4210854715202004e-14</x:v>
      </x:c>
    </x:row>
    <x:row r="57" ht="22" customHeight="1">
      <x:c r="A57" s="10" t="d">
        <x:v>2026-09-25T00:00:00.000Z</x:v>
      </x:c>
      <x:c r="B57" s="2" t="str">
        <x:v>D04</x:v>
      </x:c>
      <x:c r="C57" s="11" t="n">
        <x:v>76.0233</x:v>
      </x:c>
      <x:c r="D57" s="11" t="n">
        <x:v>3.801165</x:v>
      </x:c>
      <x:c r="E57" s="2" t="n">
        <x:v>23</x:v>
      </x:c>
      <x:c r="F57" s="11" t="n">
        <x:v>4.583333333333333</x:v>
      </x:c>
      <x:c r="G57" s="11" t="n">
        <x:f>IF(F57&gt;C57,"",C57-F57)</x:f>
        <x:v>71.43996666666668</x:v>
      </x:c>
      <x:c r="H57" s="11" t="n">
        <x:f>SUMIFS('工单核查'!$G$6:$G$257,'工单核查'!$A$6:$A$257,A57,'工单核查'!$B$6:$B$257,B57)</x:f>
        <x:v>75.19999999999999</x:v>
      </x:c>
      <x:c r="I57" s="11" t="n">
        <x:f>SUMIFS('工单核查'!$I$6:$I$257,'工单核查'!$A$6:$A$257,A57,'工单核查'!$B$6:$B$257,B57)</x:f>
        <x:v>71.43996666666668</x:v>
      </x:c>
      <x:c r="J57" s="12" t="n">
        <x:f>IF(C57=0,"",D57/C57)</x:f>
        <x:v>0.049999999999999996</x:v>
      </x:c>
      <x:c r="K57" s="2" t="str">
        <x:v>无</x:v>
      </x:c>
      <x:c r="L57" s="11" t="n">
        <x:f>I57-G57</x:f>
        <x:v>0</x:v>
      </x:c>
    </x:row>
    <x:row r="58" ht="22" customHeight="1">
      <x:c r="A58" s="10" t="d">
        <x:v>2026-09-25T00:00:00.000Z</x:v>
      </x:c>
      <x:c r="B58" s="2" t="str">
        <x:v>D05</x:v>
      </x:c>
      <x:c r="C58" s="11" t="n">
        <x:v>50.2733</x:v>
      </x:c>
      <x:c r="D58" s="11" t="n">
        <x:v>10.05466</x:v>
      </x:c>
      <x:c r="E58" s="2" t="n">
        <x:v>20</x:v>
      </x:c>
      <x:c r="F58" s="11" t="n">
        <x:v>5.333333333333333</x:v>
      </x:c>
      <x:c r="G58" s="11" t="n">
        <x:f>IF(F58&gt;C58,"",C58-F58)</x:f>
        <x:v>44.93996666666666</x:v>
      </x:c>
      <x:c r="H58" s="11" t="n">
        <x:f>SUMIFS('工单核查'!$G$6:$G$257,'工单核查'!$A$6:$A$257,A58,'工单核查'!$B$6:$B$257,B58)</x:f>
        <x:v>42.8</x:v>
      </x:c>
      <x:c r="I58" s="11" t="n">
        <x:f>SUMIFS('工单核查'!$I$6:$I$257,'工单核查'!$A$6:$A$257,A58,'工单核查'!$B$6:$B$257,B58)</x:f>
        <x:v>44.93996666666667</x:v>
      </x:c>
      <x:c r="J58" s="12" t="n">
        <x:f>IF(C58=0,"",D58/C58)</x:f>
        <x:v>0.2</x:v>
      </x:c>
      <x:c r="K58" s="2" t="str">
        <x:v>无</x:v>
      </x:c>
      <x:c r="L58" s="11" t="n">
        <x:f>I58-G58</x:f>
        <x:v>7.105427357601002e-15</x:v>
      </x:c>
    </x:row>
    <x:row r="59" ht="22" customHeight="1">
      <x:c r="A59" s="10" t="d">
        <x:v>2026-09-25T00:00:00.000Z</x:v>
      </x:c>
      <x:c r="B59" s="2" t="str">
        <x:v>D06</x:v>
      </x:c>
      <x:c r="C59" s="11" t="n">
        <x:v>131.1633</x:v>
      </x:c>
      <x:c r="D59" s="11" t="n">
        <x:v>52.465320000000006</x:v>
      </x:c>
      <x:c r="E59" s="2" t="n">
        <x:v>17</x:v>
      </x:c>
      <x:c r="F59" s="11" t="n">
        <x:v>5.583333333333333</x:v>
      </x:c>
      <x:c r="G59" s="11" t="n">
        <x:f>IF(F59&gt;C59,"",C59-F59)</x:f>
        <x:v>125.57996666666666</x:v>
      </x:c>
      <x:c r="H59" s="11" t="n">
        <x:f>SUMIFS('工单核查'!$G$6:$G$257,'工单核查'!$A$6:$A$257,A59,'工单核查'!$B$6:$B$257,B59)</x:f>
        <x:v>109.19999999999999</x:v>
      </x:c>
      <x:c r="I59" s="11" t="n">
        <x:f>SUMIFS('工单核查'!$I$6:$I$257,'工单核查'!$A$6:$A$257,A59,'工单核查'!$B$6:$B$257,B59)</x:f>
        <x:v>125.57996666666668</x:v>
      </x:c>
      <x:c r="J59" s="12" t="n">
        <x:f>IF(C59=0,"",D59/C59)</x:f>
        <x:v>0.4000000000000001</x:v>
      </x:c>
      <x:c r="K59" s="2" t="str">
        <x:v>无</x:v>
      </x:c>
      <x:c r="L59" s="11" t="n">
        <x:f>I59-G59</x:f>
        <x:v>1.4210854715202004e-14</x:v>
      </x:c>
    </x:row>
    <x:row r="60" ht="22" customHeight="1">
      <x:c r="A60" s="10" t="d">
        <x:v>2026-09-25T00:00:00.000Z</x:v>
      </x:c>
      <x:c r="B60" s="2" t="str">
        <x:v>D07</x:v>
      </x:c>
      <x:c r="C60" s="11" t="n">
        <x:v>101.8767</x:v>
      </x:c>
      <x:c r="D60" s="11" t="n">
        <x:v>10.187671</x:v>
      </x:c>
      <x:c r="E60" s="2" t="n">
        <x:v>19</x:v>
      </x:c>
      <x:c r="F60" s="11" t="n">
        <x:v>4.916666666666667</x:v>
      </x:c>
      <x:c r="G60" s="11" t="n">
        <x:f>IF(F60&gt;C60,"",C60-F60)</x:f>
        <x:v>96.96003333333333</x:v>
      </x:c>
      <x:c r="H60" s="11" t="n">
        <x:f>SUMIFS('工单核查'!$G$6:$G$257,'工单核查'!$A$6:$A$257,A60,'工单核查'!$B$6:$B$257,B60)</x:f>
        <x:v>80.8</x:v>
      </x:c>
      <x:c r="I60" s="11" t="n">
        <x:f>SUMIFS('工单核查'!$I$6:$I$257,'工单核查'!$A$6:$A$257,A60,'工单核查'!$B$6:$B$257,B60)</x:f>
        <x:v>96.96003333333333</x:v>
      </x:c>
      <x:c r="J60" s="12" t="n">
        <x:f>IF(C60=0,"",D60/C60)</x:f>
        <x:v>0.10000000981578712</x:v>
      </x:c>
      <x:c r="K60" s="2" t="str">
        <x:v>无</x:v>
      </x:c>
      <x:c r="L60" s="11" t="n">
        <x:f>I60-G60</x:f>
        <x:v>0</x:v>
      </x:c>
    </x:row>
    <x:row r="61" ht="22" customHeight="1">
      <x:c r="A61" s="10" t="d">
        <x:v>2026-09-25T00:00:00.000Z</x:v>
      </x:c>
      <x:c r="B61" s="2" t="str">
        <x:v>D08</x:v>
      </x:c>
      <x:c r="C61" s="11" t="n">
        <x:v>37.5767</x:v>
      </x:c>
      <x:c r="D61" s="11" t="n">
        <x:v>9.394175</x:v>
      </x:c>
      <x:c r="E61" s="2" t="n">
        <x:v>21</x:v>
      </x:c>
      <x:c r="F61" s="11" t="n">
        <x:v>5.416666666666666</x:v>
      </x:c>
      <x:c r="G61" s="11" t="n">
        <x:f>IF(F61&gt;C61,"",C61-F61)</x:f>
        <x:v>32.16003333333334</x:v>
      </x:c>
      <x:c r="H61" s="11" t="n">
        <x:f>SUMIFS('工单核查'!$G$6:$G$257,'工单核查'!$A$6:$A$257,A61,'工单核查'!$B$6:$B$257,B61)</x:f>
        <x:v>40.2</x:v>
      </x:c>
      <x:c r="I61" s="11" t="n">
        <x:f>SUMIFS('工单核查'!$I$6:$I$257,'工单核查'!$A$6:$A$257,A61,'工单核查'!$B$6:$B$257,B61)</x:f>
        <x:v>32.16003333333333</x:v>
      </x:c>
      <x:c r="J61" s="12" t="n">
        <x:f>IF(C61=0,"",D61/C61)</x:f>
        <x:v>0.25</x:v>
      </x:c>
      <x:c r="K61" s="2" t="str">
        <x:v>无</x:v>
      </x:c>
      <x:c r="L61" s="11" t="n">
        <x:f>I61-G61</x:f>
        <x:v>-7.105427357601002e-15</x:v>
      </x:c>
    </x:row>
    <x:row r="62" ht="22" customHeight="1">
      <x:c r="A62" s="10" t="d">
        <x:v>2026-09-25T00:00:00.000Z</x:v>
      </x:c>
      <x:c r="B62" s="2" t="str">
        <x:v>D09</x:v>
      </x:c>
      <x:c r="C62" s="11" t="n">
        <x:v>154.4</x:v>
      </x:c>
      <x:c r="D62" s="11" t="n">
        <x:v>46.32</x:v>
      </x:c>
      <x:c r="E62" s="2" t="n">
        <x:v>23</x:v>
      </x:c>
      <x:c r="F62" s="11" t="n">
        <x:v>184.66666666666666</x:v>
      </x:c>
      <x:c r="G62" s="11" t="str">
        <x:f>IF(F62&gt;C62,"",C62-F62)</x:f>
      </x:c>
      <x:c r="H62" s="11" t="n">
        <x:f>SUMIFS('工单核查'!$G$6:$G$257,'工单核查'!$A$6:$A$257,A62,'工单核查'!$B$6:$B$257,B62)</x:f>
        <x:v>144.39999999999998</x:v>
      </x:c>
      <x:c r="I62" s="11"/>
      <x:c r="J62" s="12" t="n">
        <x:f>IF(C62=0,"",D62/C62)</x:f>
        <x:v>0.3</x:v>
      </x:c>
      <x:c r="K62" s="2" t="str">
        <x:v>非生产工时超过总工时</x:v>
      </x:c>
      <x:c r="L62" s="11"/>
    </x:row>
    <x:row r="63" ht="22" customHeight="1">
      <x:c r="A63" s="10" t="d">
        <x:v>2026-09-25T00:00:00.000Z</x:v>
      </x:c>
      <x:c r="B63" s="2" t="str">
        <x:v>D10</x:v>
      </x:c>
      <x:c r="C63" s="11" t="n">
        <x:v>66.1467</x:v>
      </x:c>
      <x:c r="D63" s="11" t="n">
        <x:v>3.307335</x:v>
      </x:c>
      <x:c r="E63" s="2" t="n">
        <x:v>20</x:v>
      </x:c>
      <x:c r="F63" s="11" t="n">
        <x:v>5.666666666666666</x:v>
      </x:c>
      <x:c r="G63" s="11" t="n">
        <x:f>IF(F63&gt;C63,"",C63-F63)</x:f>
        <x:v>60.48003333333333</x:v>
      </x:c>
      <x:c r="H63" s="11" t="n">
        <x:f>SUMIFS('工单核查'!$G$6:$G$257,'工单核查'!$A$6:$A$257,A63,'工单核查'!$B$6:$B$257,B63)</x:f>
        <x:v>86.39999999999999</x:v>
      </x:c>
      <x:c r="I63" s="11" t="n">
        <x:f>SUMIFS('工单核查'!$I$6:$I$257,'工单核查'!$A$6:$A$257,A63,'工单核查'!$B$6:$B$257,B63)</x:f>
        <x:v>60.48003333333334</x:v>
      </x:c>
      <x:c r="J63" s="12" t="n">
        <x:f>IF(C63=0,"",D63/C63)</x:f>
        <x:v>0.05</x:v>
      </x:c>
      <x:c r="K63" s="2" t="str">
        <x:v>无</x:v>
      </x:c>
      <x:c r="L63" s="11" t="n">
        <x:f>I63-G63</x:f>
        <x:v>7.105427357601002e-15</x:v>
      </x:c>
    </x:row>
    <x:row r="64" ht="22" customHeight="1">
      <x:c r="A64" s="10" t="d">
        <x:v>2026-09-25T00:00:00.000Z</x:v>
      </x:c>
      <x:c r="B64" s="2" t="str">
        <x:v>D11</x:v>
      </x:c>
      <x:c r="C64" s="11" t="n">
        <x:v>70.41</x:v>
      </x:c>
      <x:c r="D64" s="11" t="n">
        <x:v>14.082</x:v>
      </x:c>
      <x:c r="E64" s="2" t="n">
        <x:v>17</x:v>
      </x:c>
      <x:c r="F64" s="11" t="n">
        <x:v>6</x:v>
      </x:c>
      <x:c r="G64" s="11" t="n">
        <x:f>IF(F64&gt;C64,"",C64-F64)</x:f>
        <x:v>64.41</x:v>
      </x:c>
      <x:c r="H64" s="11" t="n">
        <x:f>SUMIFS('工单核查'!$G$6:$G$257,'工单核查'!$A$6:$A$257,A64,'工单核查'!$B$6:$B$257,B64)</x:f>
        <x:v>67.80000000000001</x:v>
      </x:c>
      <x:c r="I64" s="11" t="n">
        <x:f>SUMIFS('工单核查'!$I$6:$I$257,'工单核查'!$A$6:$A$257,A64,'工单核查'!$B$6:$B$257,B64)</x:f>
        <x:v>64.41</x:v>
      </x:c>
      <x:c r="J64" s="12" t="n">
        <x:f>IF(C64=0,"",D64/C64)</x:f>
        <x:v>0.2</x:v>
      </x:c>
      <x:c r="K64" s="2" t="str">
        <x:v>无</x:v>
      </x:c>
      <x:c r="L64" s="11" t="n">
        <x:f>I64-G64</x:f>
        <x:v>0</x:v>
      </x:c>
    </x:row>
    <x:row r="65" ht="22" customHeight="1">
      <x:c r="A65" s="10" t="d">
        <x:v>2026-09-25T00:00:00.000Z</x:v>
      </x:c>
      <x:c r="B65" s="2" t="str">
        <x:v>D12</x:v>
      </x:c>
      <x:c r="C65" s="11" t="n">
        <x:v>132.08</x:v>
      </x:c>
      <x:c r="D65" s="11" t="n">
        <x:v>52.832</x:v>
      </x:c>
      <x:c r="E65" s="2" t="n">
        <x:v>19</x:v>
      </x:c>
      <x:c r="F65" s="11" t="n">
        <x:v>6.5</x:v>
      </x:c>
      <x:c r="G65" s="11" t="n">
        <x:f>IF(F65&gt;C65,"",C65-F65)</x:f>
        <x:v>125.58000000000001</x:v>
      </x:c>
      <x:c r="H65" s="11" t="n">
        <x:f>SUMIFS('工单核查'!$G$6:$G$257,'工单核查'!$A$6:$A$257,A65,'工单核查'!$B$6:$B$257,B65)</x:f>
        <x:v>119.6</x:v>
      </x:c>
      <x:c r="I65" s="11" t="n">
        <x:f>SUMIFS('工单核查'!$I$6:$I$257,'工单核查'!$A$6:$A$257,A65,'工单核查'!$B$6:$B$257,B65)</x:f>
        <x:v>125.58000000000003</x:v>
      </x:c>
      <x:c r="J65" s="12" t="n">
        <x:f>IF(C65=0,"",D65/C65)</x:f>
        <x:v>0.39999999999999997</x:v>
      </x:c>
      <x:c r="K65" s="2" t="str">
        <x:v>无</x:v>
      </x:c>
      <x:c r="L65" s="11" t="n">
        <x:f>I65-G65</x:f>
        <x:v>1.4210854715202004e-14</x:v>
      </x:c>
    </x:row>
    <x:row r="66" ht="22" customHeight="1">
      <x:c r="A66" s="10" t="d">
        <x:v>2026-09-26T00:00:00.000Z</x:v>
      </x:c>
      <x:c r="B66" s="2" t="str">
        <x:v>D01</x:v>
      </x:c>
      <x:c r="C66" s="11" t="n">
        <x:v>93.32</x:v>
      </x:c>
      <x:c r="D66" s="11" t="n">
        <x:v>9.332</x:v>
      </x:c>
      <x:c r="E66" s="2" t="n">
        <x:v>21</x:v>
      </x:c>
      <x:c r="F66" s="11" t="n">
        <x:v>5</x:v>
      </x:c>
      <x:c r="G66" s="11" t="n">
        <x:f>IF(F66&gt;C66,"",C66-F66)</x:f>
        <x:v>88.32</x:v>
      </x:c>
      <x:c r="H66" s="11" t="n">
        <x:f>SUMIFS('工单核查'!$G$6:$G$257,'工单核查'!$A$6:$A$257,A66,'工单核查'!$B$6:$B$257,B66)</x:f>
        <x:v>76.8</x:v>
      </x:c>
      <x:c r="I66" s="11" t="n">
        <x:f>SUMIFS('工单核查'!$I$6:$I$257,'工单核查'!$A$6:$A$257,A66,'工单核查'!$B$6:$B$257,B66)</x:f>
        <x:v>88.32</x:v>
      </x:c>
      <x:c r="J66" s="12" t="n">
        <x:f>IF(C66=0,"",D66/C66)</x:f>
        <x:v>0.10000000000000002</x:v>
      </x:c>
      <x:c r="K66" s="2" t="str">
        <x:v>无</x:v>
      </x:c>
      <x:c r="L66" s="11" t="n">
        <x:f>I66-G66</x:f>
        <x:v>0</x:v>
      </x:c>
    </x:row>
    <x:row r="67" ht="22" customHeight="1">
      <x:c r="A67" s="10" t="d">
        <x:v>2026-09-26T00:00:00.000Z</x:v>
      </x:c>
      <x:c r="B67" s="2" t="str">
        <x:v>D02</x:v>
      </x:c>
      <x:c r="C67" s="11" t="n">
        <x:v>136.29000000000002</x:v>
      </x:c>
      <x:c r="D67" s="11" t="n">
        <x:v>34.072500000000005</x:v>
      </x:c>
      <x:c r="E67" s="2" t="n">
        <x:v>23</x:v>
      </x:c>
      <x:c r="F67" s="11" t="n">
        <x:v>5.25</x:v>
      </x:c>
      <x:c r="G67" s="11" t="n">
        <x:f>IF(F67&gt;C67,"",C67-F67)</x:f>
        <x:v>131.04000000000002</x:v>
      </x:c>
      <x:c r="H67" s="11" t="n">
        <x:f>SUMIFS('工单核查'!$G$6:$G$257,'工单核查'!$A$6:$A$257,A67,'工单核查'!$B$6:$B$257,B67)</x:f>
        <x:v>109.19999999999999</x:v>
      </x:c>
      <x:c r="I67" s="11" t="n">
        <x:f>SUMIFS('工单核查'!$I$6:$I$257,'工单核查'!$A$6:$A$257,A67,'工单核查'!$B$6:$B$257,B67)</x:f>
        <x:v>131.04000000000002</x:v>
      </x:c>
      <x:c r="J67" s="12" t="n">
        <x:f>IF(C67=0,"",D67/C67)</x:f>
        <x:v>0.25</x:v>
      </x:c>
      <x:c r="K67" s="2" t="str">
        <x:v>无</x:v>
      </x:c>
      <x:c r="L67" s="11" t="n">
        <x:f>I67-G67</x:f>
        <x:v>0</x:v>
      </x:c>
    </x:row>
    <x:row r="68" ht="22" customHeight="1">
      <x:c r="A68" s="10" t="d">
        <x:v>2026-09-26T00:00:00.000Z</x:v>
      </x:c>
      <x:c r="B68" s="2" t="str">
        <x:v>D03</x:v>
      </x:c>
      <x:c r="C68" s="11" t="n">
        <x:v>83.9833</x:v>
      </x:c>
      <x:c r="D68" s="11" t="n">
        <x:v>25.194991</x:v>
      </x:c>
      <x:c r="E68" s="2" t="n">
        <x:v>20</x:v>
      </x:c>
      <x:c r="F68" s="11" t="n">
        <x:v>5.583333333333333</x:v>
      </x:c>
      <x:c r="G68" s="11" t="n">
        <x:f>IF(F68&gt;C68,"",C68-F68)</x:f>
        <x:v>78.39996666666667</x:v>
      </x:c>
      <x:c r="H68" s="11" t="n">
        <x:f>SUMIFS('工单核查'!$G$6:$G$257,'工单核查'!$A$6:$A$257,A68,'工单核查'!$B$6:$B$257,B68)</x:f>
        <x:v>98</x:v>
      </x:c>
      <x:c r="I68" s="11" t="n">
        <x:f>SUMIFS('工单核查'!$I$6:$I$257,'工单核查'!$A$6:$A$257,A68,'工单核查'!$B$6:$B$257,B68)</x:f>
        <x:v>78.39996666666666</x:v>
      </x:c>
      <x:c r="J68" s="12" t="n">
        <x:f>IF(C68=0,"",D68/C68)</x:f>
        <x:v>0.30000001190712916</x:v>
      </x:c>
      <x:c r="K68" s="2" t="str">
        <x:v>无</x:v>
      </x:c>
      <x:c r="L68" s="11" t="n">
        <x:f>I68-G68</x:f>
        <x:v>-1.4210854715202004e-14</x:v>
      </x:c>
    </x:row>
    <x:row r="69" ht="22" customHeight="1">
      <x:c r="A69" s="10" t="d">
        <x:v>2026-09-26T00:00:00.000Z</x:v>
      </x:c>
      <x:c r="B69" s="2" t="str">
        <x:v>D04</x:v>
      </x:c>
      <x:c r="C69" s="11" t="n">
        <x:v>62.9033</x:v>
      </x:c>
      <x:c r="D69" s="11" t="n">
        <x:v>3.145165</x:v>
      </x:c>
      <x:c r="E69" s="2" t="n">
        <x:v>17</x:v>
      </x:c>
      <x:c r="F69" s="11" t="n">
        <x:v>4.583333333333333</x:v>
      </x:c>
      <x:c r="G69" s="11" t="n">
        <x:f>IF(F69&gt;C69,"",C69-F69)</x:f>
        <x:v>58.319966666666666</x:v>
      </x:c>
      <x:c r="H69" s="11" t="n">
        <x:f>SUMIFS('工单核查'!$G$6:$G$257,'工单核查'!$A$6:$A$257,A69,'工单核查'!$B$6:$B$257,B69)</x:f>
        <x:v>43.2</x:v>
      </x:c>
      <x:c r="I69" s="11" t="n">
        <x:f>SUMIFS('工单核查'!$I$6:$I$257,'工单核查'!$A$6:$A$257,A69,'工单核查'!$B$6:$B$257,B69)</x:f>
        <x:v>58.31996666666666</x:v>
      </x:c>
      <x:c r="J69" s="12" t="n">
        <x:f>IF(C69=0,"",D69/C69)</x:f>
        <x:v>0.049999999999999996</x:v>
      </x:c>
      <x:c r="K69" s="2" t="str">
        <x:v>无</x:v>
      </x:c>
      <x:c r="L69" s="11" t="n">
        <x:f>I69-G69</x:f>
        <x:v>-7.105427357601002e-15</x:v>
      </x:c>
    </x:row>
    <x:row r="70" ht="22" customHeight="1">
      <x:c r="A70" s="10" t="d">
        <x:v>2026-09-26T00:00:00.000Z</x:v>
      </x:c>
      <x:c r="B70" s="2" t="str">
        <x:v>D05</x:v>
      </x:c>
      <x:c r="C70" s="11" t="n">
        <x:v>76.73330000000001</x:v>
      </x:c>
      <x:c r="D70" s="11" t="n">
        <x:v>15.34666</x:v>
      </x:c>
      <x:c r="E70" s="2" t="n">
        <x:v>19</x:v>
      </x:c>
      <x:c r="F70" s="11" t="n">
        <x:v>5.333333333333333</x:v>
      </x:c>
      <x:c r="G70" s="11" t="n">
        <x:f>IF(F70&gt;C70,"",C70-F70)</x:f>
        <x:v>71.39996666666669</x:v>
      </x:c>
      <x:c r="H70" s="11" t="n">
        <x:f>SUMIFS('工单核查'!$G$6:$G$257,'工单核查'!$A$6:$A$257,A70,'工单核查'!$B$6:$B$257,B70)</x:f>
        <x:v>102</x:v>
      </x:c>
      <x:c r="I70" s="11" t="n">
        <x:f>SUMIFS('工单核查'!$I$6:$I$257,'工单核查'!$A$6:$A$257,A70,'工单核查'!$B$6:$B$257,B70)</x:f>
        <x:v>71.39996666666669</x:v>
      </x:c>
      <x:c r="J70" s="12" t="n">
        <x:f>IF(C70=0,"",D70/C70)</x:f>
        <x:v>0.19999999999999996</x:v>
      </x:c>
      <x:c r="K70" s="2" t="str">
        <x:v>无</x:v>
      </x:c>
      <x:c r="L70" s="11" t="n">
        <x:f>I70-G70</x:f>
        <x:v>0</x:v>
      </x:c>
    </x:row>
    <x:row r="71" ht="22" customHeight="1">
      <x:c r="A71" s="10" t="d">
        <x:v>2026-09-26T00:00:00.000Z</x:v>
      </x:c>
      <x:c r="B71" s="2" t="str">
        <x:v>D06</x:v>
      </x:c>
      <x:c r="C71" s="11" t="n">
        <x:v>119.58330000000001</x:v>
      </x:c>
      <x:c r="D71" s="11" t="n">
        <x:v>47.83332</x:v>
      </x:c>
      <x:c r="E71" s="2" t="n">
        <x:v>21</x:v>
      </x:c>
      <x:c r="F71" s="11" t="n">
        <x:v>5.583333333333333</x:v>
      </x:c>
      <x:c r="G71" s="11" t="n">
        <x:f>IF(F71&gt;C71,"",C71-F71)</x:f>
        <x:v>113.99996666666668</x:v>
      </x:c>
      <x:c r="H71" s="11" t="n">
        <x:f>SUMIFS('工单核查'!$G$6:$G$257,'工单核查'!$A$6:$A$257,A71,'工单核查'!$B$6:$B$257,B71)</x:f>
        <x:v>120</x:v>
      </x:c>
      <x:c r="I71" s="11" t="n">
        <x:f>SUMIFS('工单核查'!$I$6:$I$257,'工单核查'!$A$6:$A$257,A71,'工单核查'!$B$6:$B$257,B71)</x:f>
        <x:v>113.99996666666667</x:v>
      </x:c>
      <x:c r="J71" s="12" t="n">
        <x:f>IF(C71=0,"",D71/C71)</x:f>
        <x:v>0.39999999999999997</x:v>
      </x:c>
      <x:c r="K71" s="2" t="str">
        <x:v>无</x:v>
      </x:c>
      <x:c r="L71" s="11" t="n">
        <x:f>I71-G71</x:f>
        <x:v>-1.4210854715202004e-14</x:v>
      </x:c>
    </x:row>
    <x:row r="72" ht="22" customHeight="1">
      <x:c r="A72" s="10" t="d">
        <x:v>2026-09-26T00:00:00.000Z</x:v>
      </x:c>
      <x:c r="B72" s="2" t="str">
        <x:v>D07</x:v>
      </x:c>
      <x:c r="C72" s="11" t="n">
        <x:v>114.01169999999999</x:v>
      </x:c>
      <x:c r="D72" s="11" t="n">
        <x:v>11.401171</x:v>
      </x:c>
      <x:c r="E72" s="2" t="n">
        <x:v>23</x:v>
      </x:c>
      <x:c r="F72" s="11" t="n">
        <x:v>4.916666666666667</x:v>
      </x:c>
      <x:c r="G72" s="11" t="n">
        <x:f>IF(F72&gt;C72,"",C72-F72)</x:f>
        <x:v>109.09503333333332</x:v>
      </x:c>
      <x:c r="H72" s="11"/>
      <x:c r="I72" s="11"/>
      <x:c r="J72" s="12" t="n">
        <x:f>IF(C72=0,"",D72/C72)</x:f>
        <x:v>0.10000000877102964</x:v>
      </x:c>
      <x:c r="K72" s="2" t="str">
        <x:v>标准工时缺失</x:v>
      </x:c>
      <x:c r="L72" s="11"/>
    </x:row>
    <x:row r="73" ht="22" customHeight="1">
      <x:c r="A73" s="10" t="d">
        <x:v>2026-09-26T00:00:00.000Z</x:v>
      </x:c>
      <x:c r="B73" s="2" t="str">
        <x:v>D08</x:v>
      </x:c>
      <x:c r="C73" s="11" t="n">
        <x:v>106.8467</x:v>
      </x:c>
      <x:c r="D73" s="11" t="n">
        <x:v>26.711675</x:v>
      </x:c>
      <x:c r="E73" s="2" t="n">
        <x:v>20</x:v>
      </x:c>
      <x:c r="F73" s="11" t="n">
        <x:v>5.416666666666666</x:v>
      </x:c>
      <x:c r="G73" s="11" t="n">
        <x:f>IF(F73&gt;C73,"",C73-F73)</x:f>
        <x:v>101.43003333333333</x:v>
      </x:c>
      <x:c r="H73" s="11" t="n">
        <x:f>SUMIFS('工单核查'!$G$6:$G$257,'工单核查'!$A$6:$A$257,A73,'工单核查'!$B$6:$B$257,B73)</x:f>
        <x:v>88.19999999999999</x:v>
      </x:c>
      <x:c r="I73" s="11" t="n">
        <x:f>SUMIFS('工单核查'!$I$6:$I$257,'工单核查'!$A$6:$A$257,A73,'工单核查'!$B$6:$B$257,B73)</x:f>
        <x:v>101.43003333333334</x:v>
      </x:c>
      <x:c r="J73" s="12" t="n">
        <x:f>IF(C73=0,"",D73/C73)</x:f>
        <x:v>0.25</x:v>
      </x:c>
      <x:c r="K73" s="2" t="str">
        <x:v>无</x:v>
      </x:c>
      <x:c r="L73" s="11" t="n">
        <x:f>I73-G73</x:f>
        <x:v>1.4210854715202004e-14</x:v>
      </x:c>
    </x:row>
    <x:row r="74" ht="22" customHeight="1">
      <x:c r="A74" s="10" t="d">
        <x:v>2026-09-26T00:00:00.000Z</x:v>
      </x:c>
      <x:c r="B74" s="2" t="str">
        <x:v>D09</x:v>
      </x:c>
      <x:c r="C74" s="11" t="n">
        <x:v>125.20670000000001</x:v>
      </x:c>
      <x:c r="D74" s="11" t="n">
        <x:v>37.562011</x:v>
      </x:c>
      <x:c r="E74" s="2" t="n">
        <x:v>17</x:v>
      </x:c>
      <x:c r="F74" s="11" t="n">
        <x:v>6.166666666666666</x:v>
      </x:c>
      <x:c r="G74" s="11" t="n">
        <x:f>IF(F74&gt;C74,"",C74-F74)</x:f>
        <x:v>119.04003333333334</x:v>
      </x:c>
      <x:c r="H74" s="11" t="n">
        <x:f>SUMIFS('工单核查'!$G$6:$G$257,'工单核查'!$A$6:$A$257,A74,'工单核查'!$B$6:$B$257,B74)</x:f>
        <x:v>99.2</x:v>
      </x:c>
      <x:c r="I74" s="11" t="n">
        <x:f>SUMIFS('工单核查'!$I$6:$I$257,'工单核查'!$A$6:$A$257,A74,'工单核查'!$B$6:$B$257,B74)</x:f>
        <x:v>119.04003333333334</x:v>
      </x:c>
      <x:c r="J74" s="12" t="n">
        <x:f>IF(C74=0,"",D74/C74)</x:f>
        <x:v>0.300000007986793</x:v>
      </x:c>
      <x:c r="K74" s="2" t="str">
        <x:v>无</x:v>
      </x:c>
      <x:c r="L74" s="11" t="n">
        <x:f>I74-G74</x:f>
        <x:v>0</x:v>
      </x:c>
    </x:row>
    <x:row r="75" ht="22" customHeight="1">
      <x:c r="A75" s="10" t="d">
        <x:v>2026-09-26T00:00:00.000Z</x:v>
      </x:c>
      <x:c r="B75" s="2" t="str">
        <x:v>D10</x:v>
      </x:c>
      <x:c r="C75" s="11" t="n">
        <x:v>53.3467</x:v>
      </x:c>
      <x:c r="D75" s="11" t="n">
        <x:v>2.667335</x:v>
      </x:c>
      <x:c r="E75" s="2" t="n">
        <x:v>19</x:v>
      </x:c>
      <x:c r="F75" s="11" t="n">
        <x:v>5.666666666666666</x:v>
      </x:c>
      <x:c r="G75" s="11" t="n">
        <x:f>IF(F75&gt;C75,"",C75-F75)</x:f>
        <x:v>47.680033333333334</x:v>
      </x:c>
      <x:c r="H75" s="11" t="n">
        <x:f>SUMIFS('工单核查'!$G$6:$G$257,'工单核查'!$A$6:$A$257,A75,'工单核查'!$B$6:$B$257,B75)</x:f>
        <x:v>59.6</x:v>
      </x:c>
      <x:c r="I75" s="11" t="n">
        <x:f>SUMIFS('工单核查'!$I$6:$I$257,'工单核查'!$A$6:$A$257,A75,'工单核查'!$B$6:$B$257,B75)</x:f>
        <x:v>47.680033333333334</x:v>
      </x:c>
      <x:c r="J75" s="12" t="n">
        <x:f>IF(C75=0,"",D75/C75)</x:f>
        <x:v>0.05</x:v>
      </x:c>
      <x:c r="K75" s="2" t="str">
        <x:v>无</x:v>
      </x:c>
      <x:c r="L75" s="11" t="n">
        <x:f>I75-G75</x:f>
        <x:v>0</x:v>
      </x:c>
    </x:row>
    <x:row r="76" ht="22" customHeight="1">
      <x:c r="A76" s="10" t="d">
        <x:v>2026-09-26T00:00:00.000Z</x:v>
      </x:c>
      <x:c r="B76" s="2" t="str">
        <x:v>D11</x:v>
      </x:c>
      <x:c r="C76" s="11" t="n">
        <x:v>103.74000000000001</x:v>
      </x:c>
      <x:c r="D76" s="11" t="n">
        <x:v>20.748</x:v>
      </x:c>
      <x:c r="E76" s="2" t="n">
        <x:v>21</x:v>
      </x:c>
      <x:c r="F76" s="11" t="n">
        <x:v>6</x:v>
      </x:c>
      <x:c r="G76" s="11" t="n">
        <x:f>IF(F76&gt;C76,"",C76-F76)</x:f>
        <x:v>97.74000000000001</x:v>
      </x:c>
      <x:c r="H76" s="11" t="n">
        <x:f>SUMIFS('工单核查'!$G$6:$G$257,'工单核查'!$A$6:$A$257,A76,'工单核查'!$B$6:$B$257,B76)</x:f>
        <x:v>72.4</x:v>
      </x:c>
      <x:c r="I76" s="11" t="n">
        <x:f>SUMIFS('工单核查'!$I$6:$I$257,'工单核查'!$A$6:$A$257,A76,'工单核查'!$B$6:$B$257,B76)</x:f>
        <x:v>97.74000000000001</x:v>
      </x:c>
      <x:c r="J76" s="12" t="n">
        <x:f>IF(C76=0,"",D76/C76)</x:f>
        <x:v>0.19999999999999998</x:v>
      </x:c>
      <x:c r="K76" s="2" t="str">
        <x:v>无</x:v>
      </x:c>
      <x:c r="L76" s="11" t="n">
        <x:f>I76-G76</x:f>
        <x:v>0</x:v>
      </x:c>
    </x:row>
    <x:row r="77" ht="22" customHeight="1">
      <x:c r="A77" s="10" t="d">
        <x:v>2026-09-26T00:00:00.000Z</x:v>
      </x:c>
      <x:c r="B77" s="2" t="str">
        <x:v>D12</x:v>
      </x:c>
      <x:c r="C77" s="11" t="n">
        <x:v>49.2</x:v>
      </x:c>
      <x:c r="D77" s="11" t="n">
        <x:v>19.68</x:v>
      </x:c>
      <x:c r="E77" s="2" t="n">
        <x:v>23</x:v>
      </x:c>
      <x:c r="F77" s="11" t="n">
        <x:v>6.5</x:v>
      </x:c>
      <x:c r="G77" s="11" t="n">
        <x:f>IF(F77&gt;C77,"",C77-F77)</x:f>
        <x:v>42.7</x:v>
      </x:c>
      <x:c r="H77" s="11" t="n">
        <x:f>SUMIFS('工单核查'!$G$6:$G$257,'工单核查'!$A$6:$A$257,A77,'工单核查'!$B$6:$B$257,B77)</x:f>
        <x:v>61</x:v>
      </x:c>
      <x:c r="I77" s="11" t="n">
        <x:f>SUMIFS('工单核查'!$I$6:$I$257,'工单核查'!$A$6:$A$257,A77,'工单核查'!$B$6:$B$257,B77)</x:f>
        <x:v>42.7</x:v>
      </x:c>
      <x:c r="J77" s="12" t="n">
        <x:f>IF(C77=0,"",D77/C77)</x:f>
        <x:v>0.39999999999999997</x:v>
      </x:c>
      <x:c r="K77" s="2" t="str">
        <x:v>无</x:v>
      </x:c>
      <x:c r="L77" s="11" t="n">
        <x:f>I77-G77</x:f>
        <x:v>0</x:v>
      </x:c>
    </x:row>
    <x:row r="78" ht="22" customHeight="1">
      <x:c r="A78" s="10" t="d">
        <x:v>2026-09-27T00:00:00.000Z</x:v>
      </x:c>
      <x:c r="B78" s="2" t="str">
        <x:v>D01</x:v>
      </x:c>
      <x:c r="C78" s="11" t="n">
        <x:v>68.46</x:v>
      </x:c>
      <x:c r="D78" s="11" t="n">
        <x:v>6.846</x:v>
      </x:c>
      <x:c r="E78" s="2" t="n">
        <x:v>20</x:v>
      </x:c>
      <x:c r="F78" s="11" t="n">
        <x:v>5</x:v>
      </x:c>
      <x:c r="G78" s="11" t="n">
        <x:f>IF(F78&gt;C78,"",C78-F78)</x:f>
        <x:v>63.459999999999994</x:v>
      </x:c>
      <x:c r="H78" s="11" t="n">
        <x:f>SUMIFS('工单核查'!$G$6:$G$257,'工单核查'!$A$6:$A$257,A78,'工单核查'!$B$6:$B$257,B78)</x:f>
        <x:v>66.8</x:v>
      </x:c>
      <x:c r="I78" s="11" t="n">
        <x:f>SUMIFS('工单核查'!$I$6:$I$257,'工单核查'!$A$6:$A$257,A78,'工单核查'!$B$6:$B$257,B78)</x:f>
        <x:v>63.459999999999994</x:v>
      </x:c>
      <x:c r="J78" s="12" t="n">
        <x:f>IF(C78=0,"",D78/C78)</x:f>
        <x:v>0.1</x:v>
      </x:c>
      <x:c r="K78" s="2" t="str">
        <x:v>无</x:v>
      </x:c>
      <x:c r="L78" s="11" t="n">
        <x:f>I78-G78</x:f>
        <x:v>0</x:v>
      </x:c>
    </x:row>
    <x:row r="79" ht="22" customHeight="1">
      <x:c r="A79" s="10" t="d">
        <x:v>2026-09-27T00:00:00.000Z</x:v>
      </x:c>
      <x:c r="B79" s="2" t="str">
        <x:v>D02</x:v>
      </x:c>
      <x:c r="C79" s="11" t="n">
        <x:v>206.53</x:v>
      </x:c>
      <x:c r="D79" s="11" t="n">
        <x:v>51.6325</x:v>
      </x:c>
      <x:c r="E79" s="2" t="n">
        <x:v>17</x:v>
      </x:c>
      <x:c r="F79" s="11" t="n">
        <x:v>5.25</x:v>
      </x:c>
      <x:c r="G79" s="11" t="n">
        <x:f>IF(F79&gt;C79,"",C79-F79)</x:f>
        <x:v>201.28</x:v>
      </x:c>
      <x:c r="H79" s="11" t="n">
        <x:f>SUMIFS('工单核查'!$G$6:$G$257,'工单核查'!$A$6:$A$257,A79,'工单核查'!$B$6:$B$257,B79)</x:f>
        <x:v>118.39999999999999</x:v>
      </x:c>
      <x:c r="I79" s="11" t="n">
        <x:f>SUMIFS('工单核查'!$I$6:$I$257,'工单核查'!$A$6:$A$257,A79,'工单核查'!$B$6:$B$257,B79)</x:f>
        <x:v>201.28000000000003</x:v>
      </x:c>
      <x:c r="J79" s="12" t="n">
        <x:f>IF(C79=0,"",D79/C79)</x:f>
        <x:v>0.25</x:v>
      </x:c>
      <x:c r="K79" s="2" t="str">
        <x:v>无</x:v>
      </x:c>
      <x:c r="L79" s="11" t="n">
        <x:f>I79-G79</x:f>
        <x:v>2.842170943040401e-14</x:v>
      </x:c>
    </x:row>
    <x:row r="80" ht="22" customHeight="1">
      <x:c r="A80" s="10" t="d">
        <x:v>2026-09-27T00:00:00.000Z</x:v>
      </x:c>
      <x:c r="B80" s="2" t="str">
        <x:v>D03</x:v>
      </x:c>
      <x:c r="C80" s="11" t="n">
        <x:v>132.0833</x:v>
      </x:c>
      <x:c r="D80" s="11" t="n">
        <x:v>39.624991</x:v>
      </x:c>
      <x:c r="E80" s="2" t="n">
        <x:v>19</x:v>
      </x:c>
      <x:c r="F80" s="11" t="n">
        <x:v>5.583333333333333</x:v>
      </x:c>
      <x:c r="G80" s="11" t="n">
        <x:f>IF(F80&gt;C80,"",C80-F80)</x:f>
        <x:v>126.49996666666668</x:v>
      </x:c>
      <x:c r="H80" s="11" t="n">
        <x:f>SUMIFS('工单核查'!$G$6:$G$257,'工单核查'!$A$6:$A$257,A80,'工单核查'!$B$6:$B$257,B80)</x:f>
        <x:v>110</x:v>
      </x:c>
      <x:c r="I80" s="11" t="n">
        <x:f>SUMIFS('工单核查'!$I$6:$I$257,'工单核查'!$A$6:$A$257,A80,'工单核查'!$B$6:$B$257,B80)</x:f>
        <x:v>126.4999666666667</x:v>
      </x:c>
      <x:c r="J80" s="12" t="n">
        <x:f>IF(C80=0,"",D80/C80)</x:f>
        <x:v>0.30000000757097983</x:v>
      </x:c>
      <x:c r="K80" s="2" t="str">
        <x:v>无</x:v>
      </x:c>
      <x:c r="L80" s="11" t="n">
        <x:f>I80-G80</x:f>
        <x:v>1.4210854715202004e-14</x:v>
      </x:c>
    </x:row>
    <x:row r="81" ht="22" customHeight="1">
      <x:c r="A81" s="10" t="d">
        <x:v>2026-09-27T00:00:00.000Z</x:v>
      </x:c>
      <x:c r="B81" s="2" t="str">
        <x:v>D04</x:v>
      </x:c>
      <x:c r="C81" s="11" t="n">
        <x:v>69.38329999999999</x:v>
      </x:c>
      <x:c r="D81" s="11" t="n">
        <x:v>3.4691650000000003</x:v>
      </x:c>
      <x:c r="E81" s="2" t="n">
        <x:v>21</x:v>
      </x:c>
      <x:c r="F81" s="11" t="n">
        <x:v>4.583333333333333</x:v>
      </x:c>
      <x:c r="G81" s="11" t="n">
        <x:f>IF(F81&gt;C81,"",C81-F81)</x:f>
        <x:v>64.79996666666666</x:v>
      </x:c>
      <x:c r="H81" s="11" t="n">
        <x:f>SUMIFS('工单核查'!$G$6:$G$257,'工单核查'!$A$6:$A$257,A81,'工单核查'!$B$6:$B$257,B81)</x:f>
        <x:v>54</x:v>
      </x:c>
      <x:c r="I81" s="11" t="n">
        <x:f>SUMIFS('工单核查'!$I$6:$I$257,'工单核查'!$A$6:$A$257,A81,'工单核查'!$B$6:$B$257,B81)</x:f>
        <x:v>64.79996666666666</x:v>
      </x:c>
      <x:c r="J81" s="12" t="n">
        <x:f>IF(C81=0,"",D81/C81)</x:f>
        <x:v>0.05000000000000001</x:v>
      </x:c>
      <x:c r="K81" s="2" t="str">
        <x:v>无</x:v>
      </x:c>
      <x:c r="L81" s="11" t="n">
        <x:f>I81-G81</x:f>
        <x:v>0</x:v>
      </x:c>
    </x:row>
    <x:row r="82" ht="22" customHeight="1">
      <x:c r="A82" s="10" t="d">
        <x:v>2026-09-27T00:00:00.000Z</x:v>
      </x:c>
      <x:c r="B82" s="2" t="str">
        <x:v>D05</x:v>
      </x:c>
      <x:c r="C82" s="11" t="n">
        <x:v>80.8533</x:v>
      </x:c>
      <x:c r="D82" s="11" t="n">
        <x:v>16.170659999999998</x:v>
      </x:c>
      <x:c r="E82" s="2" t="n">
        <x:v>23</x:v>
      </x:c>
      <x:c r="F82" s="11" t="n">
        <x:v>5.333333333333333</x:v>
      </x:c>
      <x:c r="G82" s="11" t="n">
        <x:f>IF(F82&gt;C82,"",C82-F82)</x:f>
        <x:v>75.51996666666668</x:v>
      </x:c>
      <x:c r="H82" s="11" t="n">
        <x:f>SUMIFS('工单核查'!$G$6:$G$257,'工单核查'!$A$6:$A$257,A82,'工单核查'!$B$6:$B$257,B82)</x:f>
        <x:v>94.4</x:v>
      </x:c>
      <x:c r="I82" s="11" t="n">
        <x:f>SUMIFS('工单核查'!$I$6:$I$257,'工单核查'!$A$6:$A$257,A82,'工单核查'!$B$6:$B$257,B82)</x:f>
        <x:v>75.51996666666668</x:v>
      </x:c>
      <x:c r="J82" s="12" t="n">
        <x:f>IF(C82=0,"",D82/C82)</x:f>
        <x:v>0.19999999999999996</x:v>
      </x:c>
      <x:c r="K82" s="2" t="str">
        <x:v>无</x:v>
      </x:c>
      <x:c r="L82" s="11" t="n">
        <x:f>I82-G82</x:f>
        <x:v>0</x:v>
      </x:c>
    </x:row>
    <x:row r="83" ht="22" customHeight="1">
      <x:c r="A83" s="10" t="d">
        <x:v>2026-09-27T00:00:00.000Z</x:v>
      </x:c>
      <x:c r="B83" s="2" t="str">
        <x:v>D06</x:v>
      </x:c>
      <x:c r="C83" s="11" t="n">
        <x:v>131.9433</x:v>
      </x:c>
      <x:c r="D83" s="11" t="n">
        <x:v>52.77732</x:v>
      </x:c>
      <x:c r="E83" s="2" t="n">
        <x:v>20</x:v>
      </x:c>
      <x:c r="F83" s="11" t="n">
        <x:v>5.583333333333333</x:v>
      </x:c>
      <x:c r="G83" s="11" t="n">
        <x:f>IF(F83&gt;C83,"",C83-F83)</x:f>
        <x:v>126.35996666666666</x:v>
      </x:c>
      <x:c r="H83" s="11" t="n">
        <x:f>SUMIFS('工单核查'!$G$6:$G$257,'工单核查'!$A$6:$A$257,A83,'工单核查'!$B$6:$B$257,B83)</x:f>
        <x:v>93.6</x:v>
      </x:c>
      <x:c r="I83" s="11" t="n">
        <x:f>SUMIFS('工单核查'!$I$6:$I$257,'工单核查'!$A$6:$A$257,A83,'工单核查'!$B$6:$B$257,B83)</x:f>
        <x:v>126.35996666666666</x:v>
      </x:c>
      <x:c r="J83" s="12" t="n">
        <x:f>IF(C83=0,"",D83/C83)</x:f>
        <x:v>0.4</x:v>
      </x:c>
      <x:c r="K83" s="2" t="str">
        <x:v>无</x:v>
      </x:c>
      <x:c r="L83" s="11" t="n">
        <x:f>I83-G83</x:f>
        <x:v>0</x:v>
      </x:c>
    </x:row>
    <x:row r="84" ht="22" customHeight="1">
      <x:c r="A84" s="10" t="d">
        <x:v>2026-09-27T00:00:00.000Z</x:v>
      </x:c>
      <x:c r="B84" s="2" t="str">
        <x:v>D07</x:v>
      </x:c>
      <x:c r="C84" s="11" t="n">
        <x:v>51.396699999999996</x:v>
      </x:c>
      <x:c r="D84" s="11" t="n">
        <x:v>5.139671</x:v>
      </x:c>
      <x:c r="E84" s="2" t="n">
        <x:v>17</x:v>
      </x:c>
      <x:c r="F84" s="11" t="n">
        <x:v>4.916666666666667</x:v>
      </x:c>
      <x:c r="G84" s="11" t="n">
        <x:f>IF(F84&gt;C84,"",C84-F84)</x:f>
        <x:v>46.48003333333333</x:v>
      </x:c>
      <x:c r="H84" s="11" t="n">
        <x:f>SUMIFS('工单核查'!$G$6:$G$257,'工单核查'!$A$6:$A$257,A84,'工单核查'!$B$6:$B$257,B84)</x:f>
        <x:v>66.39999999999999</x:v>
      </x:c>
      <x:c r="I84" s="11" t="n">
        <x:f>SUMIFS('工单核查'!$I$6:$I$257,'工单核查'!$A$6:$A$257,A84,'工单核查'!$B$6:$B$257,B84)</x:f>
        <x:v>46.48003333333334</x:v>
      </x:c>
      <x:c r="J84" s="12" t="n">
        <x:f>IF(C84=0,"",D84/C84)</x:f>
        <x:v>0.10000001945650208</x:v>
      </x:c>
      <x:c r="K84" s="2" t="str">
        <x:v>无</x:v>
      </x:c>
      <x:c r="L84" s="11" t="n">
        <x:f>I84-G84</x:f>
        <x:v>7.105427357601002e-15</x:v>
      </x:c>
    </x:row>
    <x:row r="85" ht="22" customHeight="1">
      <x:c r="A85" s="10" t="d">
        <x:v>2026-09-27T00:00:00.000Z</x:v>
      </x:c>
      <x:c r="B85" s="2" t="str">
        <x:v>D08</x:v>
      </x:c>
      <x:c r="C85" s="11" t="n">
        <x:v>140.6967</x:v>
      </x:c>
      <x:c r="D85" s="11" t="n">
        <x:v>35.174175</x:v>
      </x:c>
      <x:c r="E85" s="2" t="n">
        <x:v>19</x:v>
      </x:c>
      <x:c r="F85" s="11" t="n">
        <x:v>5.416666666666666</x:v>
      </x:c>
      <x:c r="G85" s="11" t="n">
        <x:f>IF(F85&gt;C85,"",C85-F85)</x:f>
        <x:v>135.28003333333334</x:v>
      </x:c>
      <x:c r="H85" s="11" t="n">
        <x:f>SUMIFS('工单核查'!$G$6:$G$257,'工单核查'!$A$6:$A$257,A85,'工单核查'!$B$6:$B$257,B85)</x:f>
        <x:v>142.39999999999998</x:v>
      </x:c>
      <x:c r="I85" s="11" t="n">
        <x:f>SUMIFS('工单核查'!$I$6:$I$257,'工单核查'!$A$6:$A$257,A85,'工单核查'!$B$6:$B$257,B85)</x:f>
        <x:v>135.28003333333334</x:v>
      </x:c>
      <x:c r="J85" s="12" t="n">
        <x:f>IF(C85=0,"",D85/C85)</x:f>
        <x:v>0.25</x:v>
      </x:c>
      <x:c r="K85" s="2" t="str">
        <x:v>无</x:v>
      </x:c>
      <x:c r="L85" s="11" t="n">
        <x:f>I85-G85</x:f>
        <x:v>0</x:v>
      </x:c>
    </x:row>
    <x:row r="86" ht="22" customHeight="1">
      <x:c r="A86" s="10" t="d">
        <x:v>2026-09-27T00:00:00.000Z</x:v>
      </x:c>
      <x:c r="B86" s="2" t="str">
        <x:v>D09</x:v>
      </x:c>
      <x:c r="C86" s="11" t="n">
        <x:v>93.5267</x:v>
      </x:c>
      <x:c r="D86" s="11" t="n">
        <x:v>28.058011</x:v>
      </x:c>
      <x:c r="E86" s="2" t="n">
        <x:v>21</x:v>
      </x:c>
      <x:c r="F86" s="11" t="n">
        <x:v>6.166666666666666</x:v>
      </x:c>
      <x:c r="G86" s="11" t="n">
        <x:f>IF(F86&gt;C86,"",C86-F86)</x:f>
        <x:v>87.36003333333333</x:v>
      </x:c>
      <x:c r="H86" s="11" t="n">
        <x:f>SUMIFS('工单核查'!$G$6:$G$257,'工单核查'!$A$6:$A$257,A86,'工单核查'!$B$6:$B$257,B86)</x:f>
        <x:v>83.2</x:v>
      </x:c>
      <x:c r="I86" s="11" t="n">
        <x:f>SUMIFS('工单核查'!$I$6:$I$257,'工单核查'!$A$6:$A$257,A86,'工单核查'!$B$6:$B$257,B86)</x:f>
        <x:v>87.36003333333335</x:v>
      </x:c>
      <x:c r="J86" s="12" t="n">
        <x:f>IF(C86=0,"",D86/C86)</x:f>
        <x:v>0.3000000106921339</x:v>
      </x:c>
      <x:c r="K86" s="2" t="str">
        <x:v>无</x:v>
      </x:c>
      <x:c r="L86" s="11" t="n">
        <x:f>I86-G86</x:f>
        <x:v>1.4210854715202004e-14</x:v>
      </x:c>
    </x:row>
    <x:row r="87" ht="22" customHeight="1">
      <x:c r="A87" s="10" t="d">
        <x:v>2026-09-27T00:00:00.000Z</x:v>
      </x:c>
      <x:c r="B87" s="2" t="str">
        <x:v>D10</x:v>
      </x:c>
      <x:c r="C87" s="11" t="n">
        <x:v>83.4067</x:v>
      </x:c>
      <x:c r="D87" s="11" t="n">
        <x:v>4.170335</x:v>
      </x:c>
      <x:c r="E87" s="2" t="n">
        <x:v>23</x:v>
      </x:c>
      <x:c r="F87" s="11" t="n">
        <x:v>5.666666666666666</x:v>
      </x:c>
      <x:c r="G87" s="11" t="n">
        <x:f>IF(F87&gt;C87,"",C87-F87)</x:f>
        <x:v>77.74003333333333</x:v>
      </x:c>
      <x:c r="H87" s="11" t="n">
        <x:f>SUMIFS('工单核查'!$G$6:$G$257,'工单核查'!$A$6:$A$257,A87,'工单核查'!$B$6:$B$257,B87)</x:f>
        <x:v>67.6</x:v>
      </x:c>
      <x:c r="I87" s="11" t="n">
        <x:f>SUMIFS('工单核查'!$I$6:$I$257,'工单核查'!$A$6:$A$257,A87,'工单核查'!$B$6:$B$257,B87)</x:f>
        <x:v>77.74003333333334</x:v>
      </x:c>
      <x:c r="J87" s="12" t="n">
        <x:f>IF(C87=0,"",D87/C87)</x:f>
        <x:v>0.049999999999999996</x:v>
      </x:c>
      <x:c r="K87" s="2" t="str">
        <x:v>无</x:v>
      </x:c>
      <x:c r="L87" s="11" t="n">
        <x:f>I87-G87</x:f>
        <x:v>1.4210854715202004e-14</x:v>
      </x:c>
    </x:row>
    <x:row r="88" ht="22" customHeight="1">
      <x:c r="A88" s="10" t="d">
        <x:v>2026-09-27T00:00:00.000Z</x:v>
      </x:c>
      <x:c r="B88" s="2" t="str">
        <x:v>D11</x:v>
      </x:c>
      <x:c r="C88" s="11" t="n">
        <x:v>90.24</x:v>
      </x:c>
      <x:c r="D88" s="11" t="n">
        <x:v>18.048000000000002</x:v>
      </x:c>
      <x:c r="E88" s="2" t="n">
        <x:v>20</x:v>
      </x:c>
      <x:c r="F88" s="11" t="n">
        <x:v>6</x:v>
      </x:c>
      <x:c r="G88" s="11" t="n">
        <x:f>IF(F88&gt;C88,"",C88-F88)</x:f>
        <x:v>84.24</x:v>
      </x:c>
      <x:c r="H88" s="11" t="n">
        <x:f>SUMIFS('工单核查'!$G$6:$G$257,'工单核查'!$A$6:$A$257,A88,'工单核查'!$B$6:$B$257,B88)</x:f>
        <x:v>70.2</x:v>
      </x:c>
      <x:c r="I88" s="11" t="n">
        <x:f>SUMIFS('工单核查'!$I$6:$I$257,'工单核查'!$A$6:$A$257,A88,'工单核查'!$B$6:$B$257,B88)</x:f>
        <x:v>84.24</x:v>
      </x:c>
      <x:c r="J88" s="12" t="n">
        <x:f>IF(C88=0,"",D88/C88)</x:f>
        <x:v>0.20000000000000004</x:v>
      </x:c>
      <x:c r="K88" s="2" t="str">
        <x:v>无</x:v>
      </x:c>
      <x:c r="L88" s="11" t="n">
        <x:f>I88-G88</x:f>
        <x:v>0</x:v>
      </x:c>
    </x:row>
    <x:row r="89" ht="22" customHeight="1">
      <x:c r="A89" s="10" t="d">
        <x:v>2026-09-27T00:00:00.000Z</x:v>
      </x:c>
      <x:c r="B89" s="2" t="str">
        <x:v>D12</x:v>
      </x:c>
      <x:c r="C89" s="11" t="n">
        <x:v>16</x:v>
      </x:c>
      <x:c r="D89" s="11" t="n">
        <x:v>6.4</x:v>
      </x:c>
      <x:c r="E89" s="2" t="n">
        <x:v>17</x:v>
      </x:c>
      <x:c r="F89" s="11" t="n">
        <x:v>6.5</x:v>
      </x:c>
      <x:c r="G89" s="11" t="n">
        <x:f>IF(F89&gt;C89,"",C89-F89)</x:f>
        <x:v>9.5</x:v>
      </x:c>
      <x:c r="H89" s="11" t="n">
        <x:f>SUMIFS('工单核查'!$G$6:$G$257,'工单核查'!$A$6:$A$257,A89,'工单核查'!$B$6:$B$257,B89)</x:f>
        <x:v>0</x:v>
      </x:c>
      <x:c r="I89" s="11"/>
      <x:c r="J89" s="12" t="n">
        <x:f>IF(C89=0,"",D89/C89)</x:f>
        <x:v>0.4</x:v>
      </x:c>
      <x:c r="K89" s="2" t="str">
        <x:v>计划工时基数为零</x:v>
      </x:c>
      <x:c r="L89" s="11"/>
    </x:row>
  </x:sheetData>
  <x:conditionalFormatting sqref="K6:K89">
    <x:cfRule type="notContainsText" dxfId="1" priority="1" text="无"/>
  </x:conditionalFormatting>
  <x:pageMargins left="0.7" right="0.7" top="0.75" bottom="0.75" header="0.3" footer="0.3"/>
  <x:tableParts count="1">
    <x:tablePart xmlns:r="http://schemas.openxmlformats.org/officeDocument/2006/relationships" r:id="R00ec00b1f125422a"/>
  </x:tableParts>
</x:worksheet>
</file>

<file path=xl/worksheets/sheet3.xml><?xml version="1.0" encoding="utf-8"?>
<x:worksheet xmlns:x="http://schemas.openxmlformats.org/spreadsheetml/2006/main">
  <x:sheetPr>
    <x:tabColor rgb="FF203F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00" hidden="0" customWidth="1"/>
    <x:col min="3" max="3" width="60" hidden="0" customWidth="1"/>
  </x:cols>
  <x:sheetData>
    <x:row r="1" ht="22" customHeight="1">
      <x:c r="A1" s="2"/>
      <x:c r="B1" s="2"/>
      <x:c r="C1" s="2"/>
    </x:row>
    <x:row r="2" ht="22" customHeight="1">
      <x:c r="A2" s="4" t="str">
        <x:v>复核结论与待确认事项</x:v>
      </x:c>
      <x:c r="B2" s="2"/>
      <x:c r="C2" s="2"/>
    </x:row>
    <x:row r="3" ht="22" customHeight="1">
      <x:c r="A3" s="5" t="str">
        <x:v>2026-09-21至2026-09-27 / 业务结论限于输入材料可确定的范围</x:v>
      </x:c>
      <x:c r="B3" s="2"/>
      <x:c r="C3" s="2"/>
    </x:row>
    <x:row r="4" ht="22" customHeight="1">
      <x:c r="A4" s="2"/>
      <x:c r="B4" s="2"/>
      <x:c r="C4" s="2"/>
    </x:row>
    <x:row r="5" ht="36" customHeight="1">
      <x:c r="A5" s="9" t="str">
        <x:v>事项或涉及对象</x:v>
      </x:c>
      <x:c r="B5" s="9" t="str">
        <x:v>说明</x:v>
      </x:c>
      <x:c r="C5" s="9" t="str">
        <x:v>来源</x:v>
      </x:c>
    </x:row>
    <x:row r="6" ht="65" customHeight="1">
      <x:c r="A6" s="13" t="str">
        <x:v>范围</x:v>
      </x:c>
      <x:c r="B6" s="13" t="str">
        <x:v>2026-09-21至2026-09-27，252个有效工单、84个产线日。9月20日和28日为资料范围外记录；待审批调单未执行。</x:v>
      </x:c>
      <x:c r="C6" s="13" t="str">
        <x:v>排产记录.xlsx；生产部往来记录.pdf 第1、3页</x:v>
      </x:c>
    </x:row>
    <x:row r="7" ht="65" customHeight="1">
      <x:c r="A7" s="13" t="str">
        <x:v>工时解释</x:v>
      </x:c>
      <x:c r="B7" s="13" t="str">
        <x:v>工单实际LaborHours是按标准工作量比例分摊的生产人时，不是逐工单实测工时，不能据此认定损失责任。</x:v>
      </x:c>
      <x:c r="C7" s="13" t="str">
        <x:v>制造费用归集办法.pdf 第2页；生产部往来记录.pdf 第3页</x:v>
      </x:c>
    </x:row>
    <x:row r="8" ht="65" customHeight="1">
      <x:c r="A8" s="13" t="str">
        <x:v>主要发现</x:v>
      </x:c>
      <x:c r="B8" s="13" t="str">
        <x:v>14个工单涉及重大偏差或无法核定的分摊基数；96个工单排期偏差超限，84个工单对应的产线日加班超限，4个工单质量超限。异常类别有重叠，不能相加当作异常工单总数。</x:v>
      </x:c>
      <x:c r="C8" s="13" t="str">
        <x:v>工单核查；线体日汇总</x:v>
      </x:c>
    </x:row>
    <x:row r="9" ht="65" customHeight="1">
      <x:c r="A9" s="13" t="str">
        <x:v>待确认</x:v>
      </x:c>
      <x:c r="B9" s="13" t="str">
        <x:v>3个产线日的分摊待确认：D09/9月25日事件人时与出勤冲突；D07/9月26日PX99无适用标准；D12/9月27日计划基数为零。另2个工单未提供质检记录，1个工单检验量为零。</x:v>
      </x:c>
      <x:c r="C9" s="13" t="str">
        <x:v>详见本页事项记录及对应台账</x:v>
      </x:c>
    </x:row>
    <x:row r="10" ht="65" customHeight="1">
      <x:c r="A10" s="13" t="str">
        <x:v>核验范围</x:v>
      </x:c>
      <x:c r="B10" s="13" t="str">
        <x:v>本参考结果核对有效工单集合、可计算产线日的分摊守恒、检验分母和文件内容；待确认部分未计入已核定工时结论。</x:v>
      </x:c>
      <x:c r="C10" s="13" t="str">
        <x:v>工单核查；线体日汇总</x:v>
      </x:c>
    </x:row>
    <x:row r="11" ht="65" customHeight="1">
      <x:c r="A11" s="13" t="str">
        <x:v>2026-09-22 D03 WO-0922-03-01</x:v>
      </x:c>
      <x:c r="B11" s="13" t="str">
        <x:v>重大排期偏差。计划14.4000人时，分摊23.0400人时，偏差60.00%。实际值按线体日级工时分摊，不能据此认定该工单独立造成损失。</x:v>
      </x:c>
      <x:c r="C11" s="13" t="str">
        <x:v>排产记录.xlsx PC-009；FactLabor.csv RecordID前缀LR-0922-03</x:v>
      </x:c>
    </x:row>
    <x:row r="12" ht="65" customHeight="1">
      <x:c r="A12" s="13" t="str">
        <x:v>2026-09-22 D03 WO-0922-03-02</x:v>
      </x:c>
      <x:c r="B12" s="13" t="str">
        <x:v>重大排期偏差。计划14.4000人时，分摊23.0400人时，偏差60.00%。实际值按线体日级工时分摊，不能据此认定该工单独立造成损失。</x:v>
      </x:c>
      <x:c r="C12" s="13" t="str">
        <x:v>排产记录.xlsx PP-0922；FactLabor.csv RecordID前缀LR-0922-03</x:v>
      </x:c>
    </x:row>
    <x:row r="13" ht="65" customHeight="1">
      <x:c r="A13" s="13" t="str">
        <x:v>2026-09-22 D03 WO-0922-03-03</x:v>
      </x:c>
      <x:c r="B13" s="13" t="str">
        <x:v>重大排期偏差。计划22.0000人时，分摊35.2000人时，偏差60.00%。实际值按线体日级工时分摊，不能据此认定该工单独立造成损失。</x:v>
      </x:c>
      <x:c r="C13" s="13" t="str">
        <x:v>排产记录.xlsx PP-0922；FactLabor.csv RecordID前缀LR-0922-03</x:v>
      </x:c>
    </x:row>
    <x:row r="14" ht="65" customHeight="1">
      <x:c r="A14" s="13" t="str">
        <x:v>2026-09-22 D04 WO-0922-04-02</x:v>
      </x:c>
      <x:c r="B14" s="13" t="str">
        <x:v>质检待确认。批次登记存在，但未提供有效检验记录。</x:v>
      </x:c>
      <x:c r="C14" s="13" t="str">
        <x:v>车间台账.xlsx 批次登记；FactQuality.csv</x:v>
      </x:c>
    </x:row>
    <x:row r="15" ht="65" customHeight="1">
      <x:c r="A15" s="13" t="str">
        <x:v>2026-09-23 D05 WO-0923-05-01</x:v>
      </x:c>
      <x:c r="B15" s="13" t="str">
        <x:v>质检待确认。有效记录检验数为0，缺陷率不可计算，不表示质量合格。</x:v>
      </x:c>
      <x:c r="C15" s="13" t="str">
        <x:v>车间台账.xlsx 批次登记；FactQuality.csv</x:v>
      </x:c>
    </x:row>
    <x:row r="16" ht="65" customHeight="1">
      <x:c r="A16" s="13" t="str">
        <x:v>2026-09-24 D08 WO-0924-08-01</x:v>
      </x:c>
      <x:c r="B16" s="13" t="str">
        <x:v>重大排期偏差。计划21.6000人时，分摊8.6400人时，偏差-60.00%。实际值按线体日级工时分摊，不能据此认定该工单独立造成损失。</x:v>
      </x:c>
      <x:c r="C16" s="13" t="str">
        <x:v>排产记录.xlsx PP-0924；FactLabor.csv RecordID前缀LR-0924-08</x:v>
      </x:c>
    </x:row>
    <x:row r="17" ht="65" customHeight="1">
      <x:c r="A17" s="13" t="str">
        <x:v>2026-09-24 D08 WO-0924-08-03</x:v>
      </x:c>
      <x:c r="B17" s="13" t="str">
        <x:v>重大排期偏差。计划16.5000人时，分摊6.6000人时，偏差-60.00%。实际值按线体日级工时分摊，不能据此认定该工单独立造成损失。</x:v>
      </x:c>
      <x:c r="C17" s="13" t="str">
        <x:v>排产记录.xlsx PP-0924；FactLabor.csv RecordID前缀LR-0924-08</x:v>
      </x:c>
    </x:row>
    <x:row r="18" ht="65" customHeight="1">
      <x:c r="A18" s="13" t="str">
        <x:v>2026-09-25 D09 WO-0925-09-01、WO-0925-09-02、WO-0925-09-03</x:v>
      </x:c>
      <x:c r="B18" s="13" t="str">
        <x:v>非生产工时超过总工时。总人工154.4000人时，非生产184.6667人时。该线当日不能给出有依据的工单分摊值。</x:v>
      </x:c>
      <x:c r="C18" s="13" t="str">
        <x:v>车间台账.xlsx；制造费用归集办法.pdf 第2页</x:v>
      </x:c>
    </x:row>
    <x:row r="19" ht="65" customHeight="1">
      <x:c r="A19" s="13" t="str">
        <x:v>2026-09-26 D07 WO-0926-07-01、WO-0926-07-03、WO-0926-07-02R</x:v>
      </x:c>
      <x:c r="B19" s="13" t="str">
        <x:v>标准工时缺失。总人工114.0117人时，非生产4.9167人时。PX99原标准9月26日起不再适用，新标准未提供；同日同线全部分摊待确认。</x:v>
      </x:c>
      <x:c r="C19" s="13" t="str">
        <x:v>车间台账.xlsx；制造费用归集办法.pdf 第2页</x:v>
      </x:c>
    </x:row>
    <x:row r="20" ht="65" customHeight="1">
      <x:c r="A20" s="13" t="str">
        <x:v>2026-09-26 D11 WO-0926-11-01</x:v>
      </x:c>
      <x:c r="B20" s="13" t="str">
        <x:v>质检待确认。批次登记存在，但未提供有效检验记录。</x:v>
      </x:c>
      <x:c r="C20" s="13" t="str">
        <x:v>车间台账.xlsx 批次登记；FactQuality.csv</x:v>
      </x:c>
    </x:row>
    <x:row r="21" ht="65" customHeight="1">
      <x:c r="A21" s="13" t="str">
        <x:v>2026-09-27 D02 WO-0927-02-01</x:v>
      </x:c>
      <x:c r="B21" s="13" t="str">
        <x:v>重大排期偏差。计划26.4000人时，分摊44.8800人时，偏差70.00%。实际值按线体日级工时分摊，不能据此认定该工单独立造成损失。</x:v>
      </x:c>
      <x:c r="C21" s="13" t="str">
        <x:v>排产记录.xlsx PP-0927；FactLabor.csv RecordID前缀LR-0927-02</x:v>
      </x:c>
    </x:row>
    <x:row r="22" ht="65" customHeight="1">
      <x:c r="A22" s="13" t="str">
        <x:v>2026-09-27 D02 WO-0927-02-02</x:v>
      </x:c>
      <x:c r="B22" s="13" t="str">
        <x:v>重大排期偏差。计划36.0000人时，分摊61.2000人时，偏差70.00%。实际值按线体日级工时分摊，不能据此认定该工单独立造成损失。</x:v>
      </x:c>
      <x:c r="C22" s="13" t="str">
        <x:v>排产记录.xlsx PP-0927；FactLabor.csv RecordID前缀LR-0927-02</x:v>
      </x:c>
    </x:row>
    <x:row r="23" ht="65" customHeight="1">
      <x:c r="A23" s="13" t="str">
        <x:v>2026-09-27 D02 WO-0927-02-03</x:v>
      </x:c>
      <x:c r="B23" s="13" t="str">
        <x:v>重大排期偏差。计划56.0000人时，分摊95.2000人时，偏差70.00%。实际值按线体日级工时分摊，不能据此认定该工单独立造成损失。</x:v>
      </x:c>
      <x:c r="C23" s="13" t="str">
        <x:v>排产记录.xlsx PP-0927；FactLabor.csv RecordID前缀LR-0927-02</x:v>
      </x:c>
    </x:row>
    <x:row r="24" ht="65" customHeight="1">
      <x:c r="A24" s="13" t="str">
        <x:v>2026-09-27 D12 WO-0927-12-01、WO-0927-12-02、WO-0927-12-03</x:v>
      </x:c>
      <x:c r="B24" s="13" t="str">
        <x:v>计划工时基数为零。总人工16.0000人时，非生产6.5000人时。该线当日不能给出有依据的工单分摊值。</x:v>
      </x:c>
      <x:c r="C24" s="13" t="str">
        <x:v>车间台账.xlsx；制造费用归集办法.pdf 第2页</x:v>
      </x:c>
    </x:row>
  </x:sheetData>
  <x:pageMargins left="0.7" right="0.7" top="0.75" bottom="0.75" header="0.3" footer="0.3"/>
</x:worksheet>
</file>