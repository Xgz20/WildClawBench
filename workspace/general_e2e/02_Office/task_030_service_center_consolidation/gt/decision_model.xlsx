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954409ee5e43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管理会摘要" sheetId="1" r:id="Rb1385f2dacde4159"/>
    <x:sheet xmlns:r="http://schemas.openxmlformats.org/officeDocument/2006/relationships" name="方案参数" sheetId="2" r:id="Rcf86f861a219406f"/>
    <x:sheet xmlns:r="http://schemas.openxmlformats.org/officeDocument/2006/relationships" name="服务覆盖" sheetId="3" r:id="R8f0dac8ba1494edb"/>
    <x:sheet xmlns:r="http://schemas.openxmlformats.org/officeDocument/2006/relationships" name="培训排班" sheetId="4" r:id="R61e0620952544753"/>
    <x:sheet xmlns:r="http://schemas.openxmlformats.org/officeDocument/2006/relationships" name="资金事项" sheetId="5" r:id="R5fe223dac9b5418b"/>
    <x:sheet xmlns:r="http://schemas.openxmlformats.org/officeDocument/2006/relationships" name="每日现金" sheetId="6" r:id="R592e4c1ff4644881"/>
    <x:sheet xmlns:r="http://schemas.openxmlformats.org/officeDocument/2006/relationships" name="迁移安排" sheetId="7" r:id="R7912975048034301"/>
    <x:sheet xmlns:r="http://schemas.openxmlformats.org/officeDocument/2006/relationships" name="条件与处置" sheetId="8" r:id="R28ed497d0d764c65"/>
    <x:sheet xmlns:r="http://schemas.openxmlformats.org/officeDocument/2006/relationships" name="依据" sheetId="9" r:id="R609aaacaf57348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;(#,##0);&quot;-&quot;"/>
    <x:numFmt numFmtId="201" formatCode="0"/>
    <x:numFmt numFmtId="202" formatCode="yyyy-mm-dd"/>
  </x:numFmts>
  <x:fonts count="7">
    <x:font>
      <x:sz val="11"/>
      <x:name val="Carlito"/>
    </x:font>
    <x:font>
      <x:sz val="10"/>
      <x:color rgb="FF243746"/>
      <x:name val="Microsoft YaHei"/>
    </x:font>
    <x:font>
      <x:b/>
      <x:sz val="15"/>
      <x:color rgb="FF172B4D"/>
      <x:name val="Microsoft YaHei"/>
    </x:font>
    <x:font>
      <x:sz val="10"/>
      <x:color rgb="FF52657A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sz val="10"/>
      <x:color rgb="FF00800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B5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hair">
        <x:color rgb="FFD9E2EE"/>
      </x:bottom>
      <x:diagonal/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  <x:dxf>
      <x:font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e6bb3ca254928" /><Relationship Type="http://schemas.openxmlformats.org/officeDocument/2006/relationships/theme" Target="/xl/theme/theme1.xml" Id="Rfa961626ff7e49eb" /><Relationship Type="http://schemas.openxmlformats.org/officeDocument/2006/relationships/sharedStrings" Target="/xl/sharedStrings.xml" Id="R8ec3cf4215f04249" /><Relationship Type="http://schemas.openxmlformats.org/officeDocument/2006/relationships/worksheet" Target="/xl/worksheets/sheet1.xml" Id="Rb1385f2dacde4159" /><Relationship Type="http://schemas.openxmlformats.org/officeDocument/2006/relationships/worksheet" Target="/xl/worksheets/sheet2.xml" Id="Rcf86f861a219406f" /><Relationship Type="http://schemas.openxmlformats.org/officeDocument/2006/relationships/worksheet" Target="/xl/worksheets/sheet3.xml" Id="R8f0dac8ba1494edb" /><Relationship Type="http://schemas.openxmlformats.org/officeDocument/2006/relationships/worksheet" Target="/xl/worksheets/sheet4.xml" Id="R61e0620952544753" /><Relationship Type="http://schemas.openxmlformats.org/officeDocument/2006/relationships/worksheet" Target="/xl/worksheets/sheet5.xml" Id="R5fe223dac9b5418b" /><Relationship Type="http://schemas.openxmlformats.org/officeDocument/2006/relationships/worksheet" Target="/xl/worksheets/sheet6.xml" Id="R592e4c1ff4644881" /><Relationship Type="http://schemas.openxmlformats.org/officeDocument/2006/relationships/worksheet" Target="/xl/worksheets/sheet7.xml" Id="R7912975048034301" /><Relationship Type="http://schemas.openxmlformats.org/officeDocument/2006/relationships/worksheet" Target="/xl/worksheets/sheet8.xml" Id="R28ed497d0d764c65" /><Relationship Type="http://schemas.openxmlformats.org/officeDocument/2006/relationships/worksheet" Target="/xl/worksheets/sheet9.xml" Id="R609aaacaf57348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B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30" hidden="0" customWidth="1"/>
    <x:col min="3" max="3" width="100" hidden="0" customWidth="1"/>
  </x:cols>
  <x:sheetData>
    <x:row r="1">
      <x:c r="A1" s="2"/>
      <x:c r="B1" s="2"/>
      <x:c r="C1" s="2"/>
    </x:row>
    <x:row r="2" ht="30" customHeight="1">
      <x:c r="A2" s="3" t="str">
        <x:v>双城服务中心合并测算</x:v>
      </x:c>
      <x:c r="B2" s="2"/>
      <x:c r="C2" s="2"/>
    </x:row>
    <x:row r="3" ht="36" customHeight="1">
      <x:c r="A3" s="5" t="str">
        <x:v>模拟业务；截至2026-10-30 18:00。方案编号切换资金测算，迁移表固定展示推荐方案1；实际排期变化须同步资金事项及Word/PPT。</x:v>
      </x:c>
      <x:c r="B3" s="4"/>
      <x:c r="C3" s="4"/>
    </x:row>
    <x:row r="4">
      <x:c r="A4" s="2"/>
      <x:c r="B4" s="2"/>
      <x:c r="C4" s="2"/>
    </x:row>
    <x:row r="5" ht="34" customHeight="1">
      <x:c r="A5" s="9" t="str">
        <x:v>指标</x:v>
      </x:c>
      <x:c r="B5" s="9" t="str">
        <x:v>数值或安排</x:v>
      </x:c>
      <x:c r="C5" s="9" t="str">
        <x:v>说明</x:v>
      </x:c>
    </x:row>
    <x:row r="6" ht="42" customHeight="1">
      <x:c r="A6" s="2" t="str">
        <x:v>当前方案</x:v>
      </x:c>
      <x:c r="B6" s="2" t="str">
        <x:f>CHOOSE('方案参数'!B6,"分批常规付款","分批设备早付","延期集中迁移","集中+设备早付")</x:f>
        <x:v>分批常规付款</x:v>
      </x:c>
      <x:c r="C6" s="4" t="str">
        <x:v>切换安排与条件见执行方案</x:v>
      </x:c>
    </x:row>
    <x:row r="7" ht="42" customHeight="1">
      <x:c r="A7" s="2" t="str">
        <x:v>全周期非退还成本</x:v>
      </x:c>
      <x:c r="B7" s="11" t="n">
        <x:f>SUMPRODUCT('资金事项'!E6:E22,'资金事项'!G6:G22)+'方案参数'!B14</x:f>
        <x:v>808000</x:v>
      </x:c>
      <x:c r="C7" s="4" t="str">
        <x:v>包含历史已付160000；可退押金不算成本</x:v>
      </x:c>
    </x:row>
    <x:row r="8" ht="42" customHeight="1">
      <x:c r="A8" s="2" t="str">
        <x:v>含储备预算占用</x:v>
      </x:c>
      <x:c r="B8" s="11" t="n">
        <x:f>B7+'方案参数'!B10</x:f>
        <x:v>828000</x:v>
      </x:c>
      <x:c r="C8" s="4" t="str">
        <x:v>预算上限900000</x:v>
      </x:c>
    </x:row>
    <x:row r="9" ht="42" customHeight="1">
      <x:c r="A9" s="2" t="str">
        <x:v>预算余量</x:v>
      </x:c>
      <x:c r="B9" s="11" t="n">
        <x:f>'方案参数'!B9-B8</x:f>
        <x:v>72000</x:v>
      </x:c>
      <x:c r="C9" s="4" t="str">
        <x:v>已预算但未动用的储备不再重复列支</x:v>
      </x:c>
    </x:row>
    <x:row r="10" ht="42" customHeight="1">
      <x:c r="A10" s="2" t="str">
        <x:v>最低现金</x:v>
      </x:c>
      <x:c r="B10" s="11" t="n">
        <x:f>MIN('每日现金'!E6:E34)</x:f>
        <x:v>172000</x:v>
      </x:c>
      <x:c r="C10" s="4" t="str">
        <x:v>逐日付款完成后余额；约定11/13拨入09:00先到账</x:v>
      </x:c>
    </x:row>
    <x:row r="11" ht="42" customHeight="1">
      <x:c r="A11" s="2" t="str">
        <x:v>最低现金余量</x:v>
      </x:c>
      <x:c r="B11" s="11" t="n">
        <x:f>B10-'方案参数'!B8</x:f>
        <x:v>122000</x:v>
      </x:c>
      <x:c r="C11" s="4" t="str">
        <x:v>与50000最低保有比较</x:v>
      </x:c>
    </x:row>
    <x:row r="12" ht="42" customHeight="1">
      <x:c r="A12" s="2" t="str">
        <x:v>期末现金</x:v>
      </x:c>
      <x:c r="B12" s="11" t="n">
        <x:f>'每日现金'!E34</x:f>
        <x:v>372000</x:v>
      </x:c>
      <x:c r="C12" s="4" t="str">
        <x:v>2026-11-27，按11/20交接退押</x:v>
      </x:c>
    </x:row>
    <x:row r="13" ht="42" customHeight="1">
      <x:c r="A13" s="2" t="str">
        <x:v>未来现金支出</x:v>
      </x:c>
      <x:c r="B13" s="11" t="n">
        <x:f>SUM('资金事项'!E6:E22)</x:f>
        <x:v>748000</x:v>
      </x:c>
      <x:c r="C13" s="4" t="str">
        <x:v>包括新押金，不含此前已付</x:v>
      </x:c>
    </x:row>
    <x:row r="14" ht="42" customHeight="1">
      <x:c r="A14" s="2" t="str">
        <x:v>培训最小余量</x:v>
      </x:c>
      <x:c r="B14" s="12" t="n">
        <x:f>MIN('培训排班'!L6:L11)</x:f>
        <x:v>0</x:v>
      </x:c>
      <x:c r="C14" s="4" t="str">
        <x:v>按技能和班次，人员不可重复占用</x:v>
      </x:c>
    </x:row>
    <x:row r="15" ht="42" customHeight="1">
      <x:c r="A15" s="2" t="str">
        <x:v>普通服务最小余量</x:v>
      </x:c>
      <x:c r="B15" s="12" t="n">
        <x:f>MIN('服务覆盖'!N6:N23)</x:f>
        <x:v>1</x:v>
      </x:c>
      <x:c r="C15" s="4" t="str">
        <x:v>不把未来现场预约当作已经验收</x:v>
      </x:c>
    </x:row>
    <x:row r="16" ht="42" customHeight="1">
      <x:c r="A16" s="2" t="str">
        <x:v>推荐</x:v>
      </x:c>
      <x:c r="B16" s="2" t="str">
        <x:v>选择方案1</x:v>
      </x:c>
      <x:c r="C16" s="4" t="str">
        <x:v>G 11/09、R 11/12、K 11/16晚切换；相应放行条件不满足则留旧址</x:v>
      </x:c>
    </x:row>
    <x:row r="17" ht="42" customHeight="1">
      <x:c r="A17" s="2" t="str">
        <x:v>备选</x:v>
      </x:c>
      <x:c r="B17" s="2" t="str">
        <x:v>方案3可执行但更晚</x:v>
      </x:c>
      <x:c r="C17" s="4" t="str">
        <x:v>11/16 MOVE-X集中搬迁，成本823000，最低现金212000；须在11/02 12:00前锁定</x:v>
      </x:c>
    </x:row>
    <x:row r="18" ht="42" customHeight="1">
      <x:c r="A18" s="2" t="str">
        <x:v>设备早付</x:v>
      </x:c>
      <x:c r="B18" s="2" t="str">
        <x:v>方案2资金不满足</x:v>
      </x:c>
      <x:c r="C18" s="4" t="str">
        <x:v>节省20000，但最低现金32000，低于保有18000；无已批准提前拨款</x:v>
      </x:c>
    </x:row>
    <x:row r="19" ht="42" customHeight="1">
      <x:c r="A19" s="2" t="str">
        <x:v>延长选项预算占用</x:v>
      </x:c>
      <x:c r="B19" s="11" t="n">
        <x:f>B8+'方案参数'!B18</x:f>
        <x:v>852000</x:v>
      </x:c>
      <x:c r="C19" s="4" t="str">
        <x:v>触发时追加24000；仅费用敏感性，须另确认重排日期</x:v>
      </x:c>
    </x:row>
    <x:row r="20" ht="42" customHeight="1">
      <x:c r="A20" s="2" t="str">
        <x:v>延长至27日期末现金</x:v>
      </x:c>
      <x:c r="B20" s="11" t="n">
        <x:f>B12-'方案参数'!B18-'方案参数'!B19</x:f>
        <x:v>268000</x:v>
      </x:c>
      <x:c r="C20" s="4" t="str">
        <x:v>旧押金顺延12/04回收；不代表已完成重新排期</x:v>
      </x:c>
    </x:row>
    <x:row r="21" ht="42" customHeight="1">
      <x:c r="A21" s="10" t="str">
        <x:v>组合备选</x:v>
      </x:c>
      <x:c r="B21" s="10" t="str">
        <x:v>方案4可行</x:v>
      </x:c>
      <x:c r="C21" s="13" t="str">
        <x:v>集中+早付：成本803000，含储备823000，最低现金72000（11/10），期末377000；比推荐省5000但G/R延后。MOVE-X须11/02 12:00锁定，D1须11/04 17:00行权。</x:v>
      </x:c>
    </x:row>
  </x:sheetData>
  <x:mergeCells>
    <x:mergeCell ref="A3:C3"/>
  </x:mergeCells>
  <x:conditionalFormatting sqref="B11:B11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2779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72" hidden="0" customWidth="1"/>
    <x:col min="4" max="4" width="40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测算参数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34" customHeight="1">
      <x:c r="A5" s="9" t="str">
        <x:v>参数</x:v>
      </x:c>
      <x:c r="B5" s="9" t="str">
        <x:v>数值</x:v>
      </x:c>
      <x:c r="C5" s="9" t="str">
        <x:v>口径</x:v>
      </x:c>
      <x:c r="D5" s="9" t="str">
        <x:v>来源</x:v>
      </x:c>
    </x:row>
    <x:row r="6" ht="24" customHeight="1">
      <x:c r="A6" s="2" t="str">
        <x:v>方案编号</x:v>
      </x:c>
      <x:c r="B6" s="14" t="n">
        <x:v>1</x:v>
      </x:c>
      <x:c r="C6" s="2" t="str">
        <x:v>1 分批常规；2 分批早付；3 集中常规；4 集中+早付</x:v>
      </x:c>
      <x:c r="D6" s="2" t="str">
        <x:v>管理会选择</x:v>
      </x:c>
    </x:row>
    <x:row r="7" ht="24" customHeight="1">
      <x:c r="A7" s="2" t="str">
        <x:v>期初可用现金</x:v>
      </x:c>
      <x:c r="B7" s="14" t="n">
        <x:v>740000</x:v>
      </x:c>
      <x:c r="C7" s="2" t="str">
        <x:v>2026-10-30 18:00</x:v>
      </x:c>
      <x:c r="D7" s="2" t="str">
        <x:v>08 资金安排</x:v>
      </x:c>
    </x:row>
    <x:row r="8" ht="24" customHeight="1">
      <x:c r="A8" s="2" t="str">
        <x:v>最低现金保有</x:v>
      </x:c>
      <x:c r="B8" s="14" t="n">
        <x:v>50000</x:v>
      </x:c>
      <x:c r="C8" s="2" t="str">
        <x:v>任何付款后时点</x:v>
      </x:c>
      <x:c r="D8" s="2" t="str">
        <x:v>FIN-R4</x:v>
      </x:c>
    </x:row>
    <x:row r="9" ht="24" customHeight="1">
      <x:c r="A9" s="2" t="str">
        <x:v>预算上限</x:v>
      </x:c>
      <x:c r="B9" s="14" t="n">
        <x:v>900000</x:v>
      </x:c>
      <x:c r="C9" s="2" t="str">
        <x:v>成本+储备，不含可退押金</x:v>
      </x:c>
      <x:c r="D9" s="2" t="str">
        <x:v>BUD-26</x:v>
      </x:c>
    </x:row>
    <x:row r="10" ht="24" customHeight="1">
      <x:c r="A10" s="2" t="str">
        <x:v>风险储备</x:v>
      </x:c>
      <x:c r="B10" s="14" t="n">
        <x:v>20000</x:v>
      </x:c>
      <x:c r="C10" s="2" t="str">
        <x:v>未触发不计现金流</x:v>
      </x:c>
      <x:c r="D10" s="2" t="str">
        <x:v>BUD-26</x:v>
      </x:c>
    </x:row>
    <x:row r="11" ht="24" customHeight="1">
      <x:c r="A11" s="2" t="str">
        <x:v>半小时有效分钟</x:v>
      </x:c>
      <x:c r="B11" s="14" t="n">
        <x:v>24</x:v>
      </x:c>
      <x:c r="C11" s="2" t="str">
        <x:v>每名合格生产人员</x:v>
      </x:c>
      <x:c r="D11" s="2" t="str">
        <x:v>03 SVC-2026-01 S2</x:v>
      </x:c>
    </x:row>
    <x:row r="12" ht="24" customHeight="1">
      <x:c r="A12" s="2" t="str">
        <x:v>单位数</x:v>
      </x:c>
      <x:c r="B12" s="14" t="n">
        <x:v>2</x:v>
      </x:c>
      <x:c r="C12" s="2" t="str">
        <x:v>两个站点</x:v>
      </x:c>
      <x:c r="D12" s="2" t="str">
        <x:v>05 队列字典</x:v>
      </x:c>
    </x:row>
    <x:row r="13" ht="24" customHeight="1">
      <x:c r="A13" s="2" t="str">
        <x:v>同组队列数</x:v>
      </x:c>
      <x:c r="B13" s="14" t="n">
        <x:v>2</x:v>
      </x:c>
      <x:c r="C13" s="2" t="str">
        <x:v>G/R/K每组两条</x:v>
      </x:c>
      <x:c r="D13" s="2" t="str">
        <x:v>05 队列字典</x:v>
      </x:c>
    </x:row>
    <x:row r="14" ht="24" customHeight="1">
      <x:c r="A14" s="2" t="str">
        <x:v>历史已付</x:v>
      </x:c>
      <x:c r="B14" s="14" t="n">
        <x:v>160000</x:v>
      </x:c>
      <x:c r="C14" s="2" t="str">
        <x:v>装修120000及设备40000，已从期初现金扣除</x:v>
      </x:c>
      <x:c r="D14" s="2" t="str">
        <x:v>08 历史支付 BANK101/102</x:v>
      </x:c>
    </x:row>
    <x:row r="15" ht="24" customHeight="1">
      <x:c r="A15" s="2" t="str">
        <x:v>设备早付结清金额</x:v>
      </x:c>
      <x:c r="B15" s="14" t="n">
        <x:v>180000</x:v>
      </x:c>
      <x:c r="C15" s="2" t="str">
        <x:v>11/06替代后续两笔，和常规分期互斥</x:v>
      </x:c>
      <x:c r="D15" s="2" t="str">
        <x:v>11 EQUIP-D1</x:v>
      </x:c>
    </x:row>
    <x:row r="16" ht="24" customHeight="1">
      <x:c r="A16" s="2" t="str">
        <x:v>设备常规验收款</x:v>
      </x:c>
      <x:c r="B16" s="14" t="n">
        <x:v>160000</x:v>
      </x:c>
      <x:c r="C16" s="2" t="str">
        <x:v>11/16支付</x:v>
      </x:c>
      <x:c r="D16" s="2" t="str">
        <x:v>04 EQUIP-S1</x:v>
      </x:c>
    </x:row>
    <x:row r="17" ht="24" customHeight="1">
      <x:c r="A17" s="2" t="str">
        <x:v>集中搬运专包</x:v>
      </x:c>
      <x:c r="B17" s="14" t="n">
        <x:v>75000</x:v>
      </x:c>
      <x:c r="C17" s="2" t="str">
        <x:v>11/16三lane专包</x:v>
      </x:c>
      <x:c r="D17" s="2" t="str">
        <x:v>11 MOVE-X</x:v>
      </x:c>
    </x:row>
    <x:row r="18" ht="24" customHeight="1">
      <x:c r="A18" s="2" t="str">
        <x:v>延长选项金额</x:v>
      </x:c>
      <x:c r="B18" s="14" t="n">
        <x:v>24000</x:v>
      </x:c>
      <x:c r="C18" s="2" t="str">
        <x:v>11/17支付，涵盖11/21-27场地与旧线</x:v>
      </x:c>
      <x:c r="D18" s="2" t="str">
        <x:v>04 SITE-A2 EXT-27</x:v>
      </x:c>
    </x:row>
    <x:row r="19" ht="24" customHeight="1">
      <x:c r="A19" s="10" t="str">
        <x:v>旧址押金</x:v>
      </x:c>
      <x:c r="B19" s="15" t="n">
        <x:v>80000</x:v>
      </x:c>
      <x:c r="C19" s="10" t="str">
        <x:v>交接后5工作日收回，延期则顺延</x:v>
      </x:c>
      <x:c r="D19" s="10" t="str">
        <x:v>04 SITE-A2</x:v>
      </x:c>
    </x:row>
  </x:sheetData>
  <x:dataValidations count="1">
    <x:dataValidation type="list" sqref="B6">
      <x:formula1>"1,2,3,4"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0" hidden="0" customWidth="1"/>
    <x:col min="5" max="5" width="16" hidden="0" customWidth="1"/>
    <x:col min="6" max="6" width="12" hidden="0" customWidth="1"/>
    <x:col min="7" max="7" width="12" hidden="0" customWidth="1"/>
    <x:col min="8" max="8" width="18" hidden="0" customWidth="1"/>
    <x:col min="9" max="9" width="16" hidden="0" customWidth="1"/>
    <x:col min="10" max="10" width="16" hidden="0" customWidth="1"/>
    <x:col min="11" max="11" width="16" hidden="0" customWidth="1"/>
    <x:col min="12" max="12" width="12" hidden="0" customWidth="1"/>
    <x:col min="13" max="13" width="16" hidden="0" customWidth="1"/>
    <x:col min="14" max="14" width="14" hidden="0" customWidth="1"/>
    <x:col min="15" max="15" width="4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2" ht="30" customHeight="1">
      <x:c r="A2" s="3" t="str">
        <x:v>每日服务覆盖测算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36" customHeight="1">
      <x:c r="A3" s="5" t="str">
        <x:v>D261030适用于11/27前各日。R AM按11/20前最低15人保守覆盖，21日起恢复16；培训另扣。夜间外包不借入白班。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</x:row>
    <x:row r="5" ht="34" customHeight="1">
      <x:c r="A5" s="9" t="str">
        <x:v>组</x:v>
      </x:c>
      <x:c r="B5" s="9" t="str">
        <x:v>班次</x:v>
      </x:c>
      <x:c r="C5" s="9" t="str">
        <x:v>时段类</x:v>
      </x:c>
      <x:c r="D5" s="9" t="str">
        <x:v>每队列每站件数</x:v>
      </x:c>
      <x:c r="E5" s="9" t="str">
        <x:v>单件分钟</x:v>
      </x:c>
      <x:c r="F5" s="9" t="str">
        <x:v>站点数</x:v>
      </x:c>
      <x:c r="G5" s="9" t="str">
        <x:v>队列数</x:v>
      </x:c>
      <x:c r="H5" s="9" t="str">
        <x:v>每人有效分钟</x:v>
      </x:c>
      <x:c r="I5" s="9" t="str">
        <x:v>工作分钟</x:v>
      </x:c>
      <x:c r="J5" s="9" t="str">
        <x:v>所需人数</x:v>
      </x:c>
      <x:c r="K5" s="9" t="str">
        <x:v>基础人数</x:v>
      </x:c>
      <x:c r="L5" s="9" t="str">
        <x:v>请假</x:v>
      </x:c>
      <x:c r="M5" s="9" t="str">
        <x:v>可用人数</x:v>
      </x:c>
      <x:c r="N5" s="9" t="str">
        <x:v>余量</x:v>
      </x:c>
      <x:c r="O5" s="9" t="str">
        <x:v>来源</x:v>
      </x:c>
    </x:row>
    <x:row r="6" ht="24" customHeight="1">
      <x:c r="A6" s="2" t="str">
        <x:v>G</x:v>
      </x:c>
      <x:c r="B6" s="2" t="str">
        <x:v>AM</x:v>
      </x:c>
      <x:c r="C6" s="2" t="str">
        <x:v>peak</x:v>
      </x:c>
      <x:c r="D6" s="2" t="n">
        <x:v>14</x:v>
      </x:c>
      <x:c r="E6" s="2" t="n">
        <x:v>6</x:v>
      </x:c>
      <x:c r="F6" s="16" t="n">
        <x:f>'方案参数'!B12</x:f>
        <x:v>2</x:v>
      </x:c>
      <x:c r="G6" s="16" t="n">
        <x:f>'方案参数'!B13</x:f>
        <x:v>2</x:v>
      </x:c>
      <x:c r="H6" s="16" t="n">
        <x:f>'方案参数'!B11</x:f>
        <x:v>24</x:v>
      </x:c>
      <x:c r="I6" s="2" t="n">
        <x:f>D6*E6*F6*G6</x:f>
        <x:v>336</x:v>
      </x:c>
      <x:c r="J6" s="2" t="n">
        <x:f>ROUNDUP(I6/H6,0)</x:f>
        <x:v>14</x:v>
      </x:c>
      <x:c r="K6" s="2" t="n">
        <x:v>16</x:v>
      </x:c>
      <x:c r="L6" s="2" t="n">
        <x:v>0</x:v>
      </x:c>
      <x:c r="M6" s="2" t="n">
        <x:f>K6-L6</x:f>
        <x:v>16</x:v>
      </x:c>
      <x:c r="N6" s="2" t="n">
        <x:f>M6-J6</x:f>
        <x:v>2</x:v>
      </x:c>
      <x:c r="O6" s="2" t="str">
        <x:v>05 预测明细 / 06 请假流水</x:v>
      </x:c>
    </x:row>
    <x:row r="7" ht="24" customHeight="1">
      <x:c r="A7" s="2" t="str">
        <x:v>G</x:v>
      </x:c>
      <x:c r="B7" s="2" t="str">
        <x:v>AM</x:v>
      </x:c>
      <x:c r="C7" s="2" t="str">
        <x:v>normal</x:v>
      </x:c>
      <x:c r="D7" s="2" t="n">
        <x:v>12</x:v>
      </x:c>
      <x:c r="E7" s="2" t="n">
        <x:v>6</x:v>
      </x:c>
      <x:c r="F7" s="16" t="n">
        <x:f>'方案参数'!B12</x:f>
        <x:v>2</x:v>
      </x:c>
      <x:c r="G7" s="16" t="n">
        <x:f>'方案参数'!B13</x:f>
        <x:v>2</x:v>
      </x:c>
      <x:c r="H7" s="16" t="n">
        <x:f>'方案参数'!B11</x:f>
        <x:v>24</x:v>
      </x:c>
      <x:c r="I7" s="2" t="n">
        <x:f>D7*E7*F7*G7</x:f>
        <x:v>288</x:v>
      </x:c>
      <x:c r="J7" s="2" t="n">
        <x:f>ROUNDUP(I7/H7,0)</x:f>
        <x:v>12</x:v>
      </x:c>
      <x:c r="K7" s="2" t="n">
        <x:v>16</x:v>
      </x:c>
      <x:c r="L7" s="2" t="n">
        <x:v>0</x:v>
      </x:c>
      <x:c r="M7" s="2" t="n">
        <x:f>K7-L7</x:f>
        <x:v>16</x:v>
      </x:c>
      <x:c r="N7" s="2" t="n">
        <x:f>M7-J7</x:f>
        <x:v>4</x:v>
      </x:c>
      <x:c r="O7" s="2" t="str">
        <x:v>05 预测明细 / 06 请假流水</x:v>
      </x:c>
    </x:row>
    <x:row r="8" ht="24" customHeight="1">
      <x:c r="A8" s="2" t="str">
        <x:v>G</x:v>
      </x:c>
      <x:c r="B8" s="2" t="str">
        <x:v>AM</x:v>
      </x:c>
      <x:c r="C8" s="2" t="str">
        <x:v>offpeak</x:v>
      </x:c>
      <x:c r="D8" s="2" t="n">
        <x:v>10</x:v>
      </x:c>
      <x:c r="E8" s="2" t="n">
        <x:v>6</x:v>
      </x:c>
      <x:c r="F8" s="16" t="n">
        <x:f>'方案参数'!B12</x:f>
        <x:v>2</x:v>
      </x:c>
      <x:c r="G8" s="16" t="n">
        <x:f>'方案参数'!B13</x:f>
        <x:v>2</x:v>
      </x:c>
      <x:c r="H8" s="16" t="n">
        <x:f>'方案参数'!B11</x:f>
        <x:v>24</x:v>
      </x:c>
      <x:c r="I8" s="2" t="n">
        <x:f>D8*E8*F8*G8</x:f>
        <x:v>240</x:v>
      </x:c>
      <x:c r="J8" s="2" t="n">
        <x:f>ROUNDUP(I8/H8,0)</x:f>
        <x:v>10</x:v>
      </x:c>
      <x:c r="K8" s="2" t="n">
        <x:v>16</x:v>
      </x:c>
      <x:c r="L8" s="2" t="n">
        <x:v>0</x:v>
      </x:c>
      <x:c r="M8" s="2" t="n">
        <x:f>K8-L8</x:f>
        <x:v>16</x:v>
      </x:c>
      <x:c r="N8" s="2" t="n">
        <x:f>M8-J8</x:f>
        <x:v>6</x:v>
      </x:c>
      <x:c r="O8" s="2" t="str">
        <x:v>05 预测明细 / 06 请假流水</x:v>
      </x:c>
    </x:row>
    <x:row r="9" ht="24" customHeight="1">
      <x:c r="A9" s="2" t="str">
        <x:v>G</x:v>
      </x:c>
      <x:c r="B9" s="2" t="str">
        <x:v>PM</x:v>
      </x:c>
      <x:c r="C9" s="2" t="str">
        <x:v>peak</x:v>
      </x:c>
      <x:c r="D9" s="2" t="n">
        <x:v>14</x:v>
      </x:c>
      <x:c r="E9" s="2" t="n">
        <x:v>6</x:v>
      </x:c>
      <x:c r="F9" s="16" t="n">
        <x:f>'方案参数'!B12</x:f>
        <x:v>2</x:v>
      </x:c>
      <x:c r="G9" s="16" t="n">
        <x:f>'方案参数'!B13</x:f>
        <x:v>2</x:v>
      </x:c>
      <x:c r="H9" s="16" t="n">
        <x:f>'方案参数'!B11</x:f>
        <x:v>24</x:v>
      </x:c>
      <x:c r="I9" s="2" t="n">
        <x:f>D9*E9*F9*G9</x:f>
        <x:v>336</x:v>
      </x:c>
      <x:c r="J9" s="2" t="n">
        <x:f>ROUNDUP(I9/H9,0)</x:f>
        <x:v>14</x:v>
      </x:c>
      <x:c r="K9" s="2" t="n">
        <x:v>16</x:v>
      </x:c>
      <x:c r="L9" s="2" t="n">
        <x:v>0</x:v>
      </x:c>
      <x:c r="M9" s="2" t="n">
        <x:f>K9-L9</x:f>
        <x:v>16</x:v>
      </x:c>
      <x:c r="N9" s="2" t="n">
        <x:f>M9-J9</x:f>
        <x:v>2</x:v>
      </x:c>
      <x:c r="O9" s="2" t="str">
        <x:v>05 预测明细 / 06 请假流水</x:v>
      </x:c>
    </x:row>
    <x:row r="10" ht="24" customHeight="1">
      <x:c r="A10" s="2" t="str">
        <x:v>G</x:v>
      </x:c>
      <x:c r="B10" s="2" t="str">
        <x:v>PM</x:v>
      </x:c>
      <x:c r="C10" s="2" t="str">
        <x:v>normal</x:v>
      </x:c>
      <x:c r="D10" s="2" t="n">
        <x:v>12</x:v>
      </x:c>
      <x:c r="E10" s="2" t="n">
        <x:v>6</x:v>
      </x:c>
      <x:c r="F10" s="16" t="n">
        <x:f>'方案参数'!B12</x:f>
        <x:v>2</x:v>
      </x:c>
      <x:c r="G10" s="16" t="n">
        <x:f>'方案参数'!B13</x:f>
        <x:v>2</x:v>
      </x:c>
      <x:c r="H10" s="16" t="n">
        <x:f>'方案参数'!B11</x:f>
        <x:v>24</x:v>
      </x:c>
      <x:c r="I10" s="2" t="n">
        <x:f>D10*E10*F10*G10</x:f>
        <x:v>288</x:v>
      </x:c>
      <x:c r="J10" s="2" t="n">
        <x:f>ROUNDUP(I10/H10,0)</x:f>
        <x:v>12</x:v>
      </x:c>
      <x:c r="K10" s="2" t="n">
        <x:v>16</x:v>
      </x:c>
      <x:c r="L10" s="2" t="n">
        <x:v>0</x:v>
      </x:c>
      <x:c r="M10" s="2" t="n">
        <x:f>K10-L10</x:f>
        <x:v>16</x:v>
      </x:c>
      <x:c r="N10" s="2" t="n">
        <x:f>M10-J10</x:f>
        <x:v>4</x:v>
      </x:c>
      <x:c r="O10" s="2" t="str">
        <x:v>05 预测明细 / 06 请假流水</x:v>
      </x:c>
    </x:row>
    <x:row r="11" ht="24" customHeight="1">
      <x:c r="A11" s="2" t="str">
        <x:v>G</x:v>
      </x:c>
      <x:c r="B11" s="2" t="str">
        <x:v>PM</x:v>
      </x:c>
      <x:c r="C11" s="2" t="str">
        <x:v>offpeak</x:v>
      </x:c>
      <x:c r="D11" s="2" t="n">
        <x:v>10</x:v>
      </x:c>
      <x:c r="E11" s="2" t="n">
        <x:v>6</x:v>
      </x:c>
      <x:c r="F11" s="16" t="n">
        <x:f>'方案参数'!B12</x:f>
        <x:v>2</x:v>
      </x:c>
      <x:c r="G11" s="16" t="n">
        <x:f>'方案参数'!B13</x:f>
        <x:v>2</x:v>
      </x:c>
      <x:c r="H11" s="16" t="n">
        <x:f>'方案参数'!B11</x:f>
        <x:v>24</x:v>
      </x:c>
      <x:c r="I11" s="2" t="n">
        <x:f>D11*E11*F11*G11</x:f>
        <x:v>240</x:v>
      </x:c>
      <x:c r="J11" s="2" t="n">
        <x:f>ROUNDUP(I11/H11,0)</x:f>
        <x:v>10</x:v>
      </x:c>
      <x:c r="K11" s="2" t="n">
        <x:v>16</x:v>
      </x:c>
      <x:c r="L11" s="2" t="n">
        <x:v>0</x:v>
      </x:c>
      <x:c r="M11" s="2" t="n">
        <x:f>K11-L11</x:f>
        <x:v>16</x:v>
      </x:c>
      <x:c r="N11" s="2" t="n">
        <x:f>M11-J11</x:f>
        <x:v>6</x:v>
      </x:c>
      <x:c r="O11" s="2" t="str">
        <x:v>05 预测明细 / 06 请假流水</x:v>
      </x:c>
    </x:row>
    <x:row r="12" ht="24" customHeight="1">
      <x:c r="A12" s="2" t="str">
        <x:v>R</x:v>
      </x:c>
      <x:c r="B12" s="2" t="str">
        <x:v>AM</x:v>
      </x:c>
      <x:c r="C12" s="2" t="str">
        <x:v>peak</x:v>
      </x:c>
      <x:c r="D12" s="2" t="n">
        <x:v>10</x:v>
      </x:c>
      <x:c r="E12" s="2" t="n">
        <x:v>8</x:v>
      </x:c>
      <x:c r="F12" s="16" t="n">
        <x:f>'方案参数'!B12</x:f>
        <x:v>2</x:v>
      </x:c>
      <x:c r="G12" s="16" t="n">
        <x:f>'方案参数'!B13</x:f>
        <x:v>2</x:v>
      </x:c>
      <x:c r="H12" s="16" t="n">
        <x:f>'方案参数'!B11</x:f>
        <x:v>24</x:v>
      </x:c>
      <x:c r="I12" s="2" t="n">
        <x:f>D12*E12*F12*G12</x:f>
        <x:v>320</x:v>
      </x:c>
      <x:c r="J12" s="2" t="n">
        <x:f>ROUNDUP(I12/H12,0)</x:f>
        <x:v>14</x:v>
      </x:c>
      <x:c r="K12" s="2" t="n">
        <x:v>16</x:v>
      </x:c>
      <x:c r="L12" s="2" t="n">
        <x:v>1</x:v>
      </x:c>
      <x:c r="M12" s="2" t="n">
        <x:f>K12-L12</x:f>
        <x:v>15</x:v>
      </x:c>
      <x:c r="N12" s="2" t="n">
        <x:f>M12-J12</x:f>
        <x:v>1</x:v>
      </x:c>
      <x:c r="O12" s="2" t="str">
        <x:v>05 预测明细 / 06 请假流水</x:v>
      </x:c>
    </x:row>
    <x:row r="13" ht="24" customHeight="1">
      <x:c r="A13" s="2" t="str">
        <x:v>R</x:v>
      </x:c>
      <x:c r="B13" s="2" t="str">
        <x:v>AM</x:v>
      </x:c>
      <x:c r="C13" s="2" t="str">
        <x:v>normal</x:v>
      </x:c>
      <x:c r="D13" s="2" t="n">
        <x:v>9</x:v>
      </x:c>
      <x:c r="E13" s="2" t="n">
        <x:v>8</x:v>
      </x:c>
      <x:c r="F13" s="16" t="n">
        <x:f>'方案参数'!B12</x:f>
        <x:v>2</x:v>
      </x:c>
      <x:c r="G13" s="16" t="n">
        <x:f>'方案参数'!B13</x:f>
        <x:v>2</x:v>
      </x:c>
      <x:c r="H13" s="16" t="n">
        <x:f>'方案参数'!B11</x:f>
        <x:v>24</x:v>
      </x:c>
      <x:c r="I13" s="2" t="n">
        <x:f>D13*E13*F13*G13</x:f>
        <x:v>288</x:v>
      </x:c>
      <x:c r="J13" s="2" t="n">
        <x:f>ROUNDUP(I13/H13,0)</x:f>
        <x:v>12</x:v>
      </x:c>
      <x:c r="K13" s="2" t="n">
        <x:v>16</x:v>
      </x:c>
      <x:c r="L13" s="2" t="n">
        <x:v>1</x:v>
      </x:c>
      <x:c r="M13" s="2" t="n">
        <x:f>K13-L13</x:f>
        <x:v>15</x:v>
      </x:c>
      <x:c r="N13" s="2" t="n">
        <x:f>M13-J13</x:f>
        <x:v>3</x:v>
      </x:c>
      <x:c r="O13" s="2" t="str">
        <x:v>05 预测明细 / 06 请假流水</x:v>
      </x:c>
    </x:row>
    <x:row r="14" ht="24" customHeight="1">
      <x:c r="A14" s="2" t="str">
        <x:v>R</x:v>
      </x:c>
      <x:c r="B14" s="2" t="str">
        <x:v>AM</x:v>
      </x:c>
      <x:c r="C14" s="2" t="str">
        <x:v>offpeak</x:v>
      </x:c>
      <x:c r="D14" s="2" t="n">
        <x:v>7</x:v>
      </x:c>
      <x:c r="E14" s="2" t="n">
        <x:v>8</x:v>
      </x:c>
      <x:c r="F14" s="16" t="n">
        <x:f>'方案参数'!B12</x:f>
        <x:v>2</x:v>
      </x:c>
      <x:c r="G14" s="16" t="n">
        <x:f>'方案参数'!B13</x:f>
        <x:v>2</x:v>
      </x:c>
      <x:c r="H14" s="16" t="n">
        <x:f>'方案参数'!B11</x:f>
        <x:v>24</x:v>
      </x:c>
      <x:c r="I14" s="2" t="n">
        <x:f>D14*E14*F14*G14</x:f>
        <x:v>224</x:v>
      </x:c>
      <x:c r="J14" s="2" t="n">
        <x:f>ROUNDUP(I14/H14,0)</x:f>
        <x:v>10</x:v>
      </x:c>
      <x:c r="K14" s="2" t="n">
        <x:v>16</x:v>
      </x:c>
      <x:c r="L14" s="2" t="n">
        <x:v>1</x:v>
      </x:c>
      <x:c r="M14" s="2" t="n">
        <x:f>K14-L14</x:f>
        <x:v>15</x:v>
      </x:c>
      <x:c r="N14" s="2" t="n">
        <x:f>M14-J14</x:f>
        <x:v>5</x:v>
      </x:c>
      <x:c r="O14" s="2" t="str">
        <x:v>05 预测明细 / 06 请假流水</x:v>
      </x:c>
    </x:row>
    <x:row r="15" ht="24" customHeight="1">
      <x:c r="A15" s="2" t="str">
        <x:v>R</x:v>
      </x:c>
      <x:c r="B15" s="2" t="str">
        <x:v>PM</x:v>
      </x:c>
      <x:c r="C15" s="2" t="str">
        <x:v>peak</x:v>
      </x:c>
      <x:c r="D15" s="2" t="n">
        <x:v>10</x:v>
      </x:c>
      <x:c r="E15" s="2" t="n">
        <x:v>8</x:v>
      </x:c>
      <x:c r="F15" s="16" t="n">
        <x:f>'方案参数'!B12</x:f>
        <x:v>2</x:v>
      </x:c>
      <x:c r="G15" s="16" t="n">
        <x:f>'方案参数'!B13</x:f>
        <x:v>2</x:v>
      </x:c>
      <x:c r="H15" s="16" t="n">
        <x:f>'方案参数'!B11</x:f>
        <x:v>24</x:v>
      </x:c>
      <x:c r="I15" s="2" t="n">
        <x:f>D15*E15*F15*G15</x:f>
        <x:v>320</x:v>
      </x:c>
      <x:c r="J15" s="2" t="n">
        <x:f>ROUNDUP(I15/H15,0)</x:f>
        <x:v>14</x:v>
      </x:c>
      <x:c r="K15" s="2" t="n">
        <x:v>16</x:v>
      </x:c>
      <x:c r="L15" s="2" t="n">
        <x:v>0</x:v>
      </x:c>
      <x:c r="M15" s="2" t="n">
        <x:f>K15-L15</x:f>
        <x:v>16</x:v>
      </x:c>
      <x:c r="N15" s="2" t="n">
        <x:f>M15-J15</x:f>
        <x:v>2</x:v>
      </x:c>
      <x:c r="O15" s="2" t="str">
        <x:v>05 预测明细 / 06 请假流水</x:v>
      </x:c>
    </x:row>
    <x:row r="16" ht="24" customHeight="1">
      <x:c r="A16" s="2" t="str">
        <x:v>R</x:v>
      </x:c>
      <x:c r="B16" s="2" t="str">
        <x:v>PM</x:v>
      </x:c>
      <x:c r="C16" s="2" t="str">
        <x:v>normal</x:v>
      </x:c>
      <x:c r="D16" s="2" t="n">
        <x:v>9</x:v>
      </x:c>
      <x:c r="E16" s="2" t="n">
        <x:v>8</x:v>
      </x:c>
      <x:c r="F16" s="16" t="n">
        <x:f>'方案参数'!B12</x:f>
        <x:v>2</x:v>
      </x:c>
      <x:c r="G16" s="16" t="n">
        <x:f>'方案参数'!B13</x:f>
        <x:v>2</x:v>
      </x:c>
      <x:c r="H16" s="16" t="n">
        <x:f>'方案参数'!B11</x:f>
        <x:v>24</x:v>
      </x:c>
      <x:c r="I16" s="2" t="n">
        <x:f>D16*E16*F16*G16</x:f>
        <x:v>288</x:v>
      </x:c>
      <x:c r="J16" s="2" t="n">
        <x:f>ROUNDUP(I16/H16,0)</x:f>
        <x:v>12</x:v>
      </x:c>
      <x:c r="K16" s="2" t="n">
        <x:v>16</x:v>
      </x:c>
      <x:c r="L16" s="2" t="n">
        <x:v>0</x:v>
      </x:c>
      <x:c r="M16" s="2" t="n">
        <x:f>K16-L16</x:f>
        <x:v>16</x:v>
      </x:c>
      <x:c r="N16" s="2" t="n">
        <x:f>M16-J16</x:f>
        <x:v>4</x:v>
      </x:c>
      <x:c r="O16" s="2" t="str">
        <x:v>05 预测明细 / 06 请假流水</x:v>
      </x:c>
    </x:row>
    <x:row r="17" ht="24" customHeight="1">
      <x:c r="A17" s="2" t="str">
        <x:v>R</x:v>
      </x:c>
      <x:c r="B17" s="2" t="str">
        <x:v>PM</x:v>
      </x:c>
      <x:c r="C17" s="2" t="str">
        <x:v>offpeak</x:v>
      </x:c>
      <x:c r="D17" s="2" t="n">
        <x:v>7</x:v>
      </x:c>
      <x:c r="E17" s="2" t="n">
        <x:v>8</x:v>
      </x:c>
      <x:c r="F17" s="16" t="n">
        <x:f>'方案参数'!B12</x:f>
        <x:v>2</x:v>
      </x:c>
      <x:c r="G17" s="16" t="n">
        <x:f>'方案参数'!B13</x:f>
        <x:v>2</x:v>
      </x:c>
      <x:c r="H17" s="16" t="n">
        <x:f>'方案参数'!B11</x:f>
        <x:v>24</x:v>
      </x:c>
      <x:c r="I17" s="2" t="n">
        <x:f>D17*E17*F17*G17</x:f>
        <x:v>224</x:v>
      </x:c>
      <x:c r="J17" s="2" t="n">
        <x:f>ROUNDUP(I17/H17,0)</x:f>
        <x:v>10</x:v>
      </x:c>
      <x:c r="K17" s="2" t="n">
        <x:v>16</x:v>
      </x:c>
      <x:c r="L17" s="2" t="n">
        <x:v>0</x:v>
      </x:c>
      <x:c r="M17" s="2" t="n">
        <x:f>K17-L17</x:f>
        <x:v>16</x:v>
      </x:c>
      <x:c r="N17" s="2" t="n">
        <x:f>M17-J17</x:f>
        <x:v>6</x:v>
      </x:c>
      <x:c r="O17" s="2" t="str">
        <x:v>05 预测明细 / 06 请假流水</x:v>
      </x:c>
    </x:row>
    <x:row r="18" ht="24" customHeight="1">
      <x:c r="A18" s="2" t="str">
        <x:v>K</x:v>
      </x:c>
      <x:c r="B18" s="2" t="str">
        <x:v>AM</x:v>
      </x:c>
      <x:c r="C18" s="2" t="str">
        <x:v>peak</x:v>
      </x:c>
      <x:c r="D18" s="2" t="n">
        <x:v>8</x:v>
      </x:c>
      <x:c r="E18" s="2" t="n">
        <x:v>10</x:v>
      </x:c>
      <x:c r="F18" s="16" t="n">
        <x:f>'方案参数'!B12</x:f>
        <x:v>2</x:v>
      </x:c>
      <x:c r="G18" s="16" t="n">
        <x:f>'方案参数'!B13</x:f>
        <x:v>2</x:v>
      </x:c>
      <x:c r="H18" s="16" t="n">
        <x:f>'方案参数'!B11</x:f>
        <x:v>24</x:v>
      </x:c>
      <x:c r="I18" s="2" t="n">
        <x:f>D18*E18*F18*G18</x:f>
        <x:v>320</x:v>
      </x:c>
      <x:c r="J18" s="2" t="n">
        <x:f>ROUNDUP(I18/H18,0)</x:f>
        <x:v>14</x:v>
      </x:c>
      <x:c r="K18" s="2" t="n">
        <x:v>16</x:v>
      </x:c>
      <x:c r="L18" s="2" t="n">
        <x:v>0</x:v>
      </x:c>
      <x:c r="M18" s="2" t="n">
        <x:f>K18-L18</x:f>
        <x:v>16</x:v>
      </x:c>
      <x:c r="N18" s="2" t="n">
        <x:f>M18-J18</x:f>
        <x:v>2</x:v>
      </x:c>
      <x:c r="O18" s="2" t="str">
        <x:v>05 预测明细 / 06 请假流水</x:v>
      </x:c>
    </x:row>
    <x:row r="19" ht="24" customHeight="1">
      <x:c r="A19" s="2" t="str">
        <x:v>K</x:v>
      </x:c>
      <x:c r="B19" s="2" t="str">
        <x:v>AM</x:v>
      </x:c>
      <x:c r="C19" s="2" t="str">
        <x:v>normal</x:v>
      </x:c>
      <x:c r="D19" s="2" t="n">
        <x:v>7</x:v>
      </x:c>
      <x:c r="E19" s="2" t="n">
        <x:v>10</x:v>
      </x:c>
      <x:c r="F19" s="16" t="n">
        <x:f>'方案参数'!B12</x:f>
        <x:v>2</x:v>
      </x:c>
      <x:c r="G19" s="16" t="n">
        <x:f>'方案参数'!B13</x:f>
        <x:v>2</x:v>
      </x:c>
      <x:c r="H19" s="16" t="n">
        <x:f>'方案参数'!B11</x:f>
        <x:v>24</x:v>
      </x:c>
      <x:c r="I19" s="2" t="n">
        <x:f>D19*E19*F19*G19</x:f>
        <x:v>280</x:v>
      </x:c>
      <x:c r="J19" s="2" t="n">
        <x:f>ROUNDUP(I19/H19,0)</x:f>
        <x:v>12</x:v>
      </x:c>
      <x:c r="K19" s="2" t="n">
        <x:v>16</x:v>
      </x:c>
      <x:c r="L19" s="2" t="n">
        <x:v>0</x:v>
      </x:c>
      <x:c r="M19" s="2" t="n">
        <x:f>K19-L19</x:f>
        <x:v>16</x:v>
      </x:c>
      <x:c r="N19" s="2" t="n">
        <x:f>M19-J19</x:f>
        <x:v>4</x:v>
      </x:c>
      <x:c r="O19" s="2" t="str">
        <x:v>05 预测明细 / 06 请假流水</x:v>
      </x:c>
    </x:row>
    <x:row r="20" ht="24" customHeight="1">
      <x:c r="A20" s="2" t="str">
        <x:v>K</x:v>
      </x:c>
      <x:c r="B20" s="2" t="str">
        <x:v>AM</x:v>
      </x:c>
      <x:c r="C20" s="2" t="str">
        <x:v>offpeak</x:v>
      </x:c>
      <x:c r="D20" s="2" t="n">
        <x:v>6</x:v>
      </x:c>
      <x:c r="E20" s="2" t="n">
        <x:v>10</x:v>
      </x:c>
      <x:c r="F20" s="16" t="n">
        <x:f>'方案参数'!B12</x:f>
        <x:v>2</x:v>
      </x:c>
      <x:c r="G20" s="16" t="n">
        <x:f>'方案参数'!B13</x:f>
        <x:v>2</x:v>
      </x:c>
      <x:c r="H20" s="16" t="n">
        <x:f>'方案参数'!B11</x:f>
        <x:v>24</x:v>
      </x:c>
      <x:c r="I20" s="2" t="n">
        <x:f>D20*E20*F20*G20</x:f>
        <x:v>240</x:v>
      </x:c>
      <x:c r="J20" s="2" t="n">
        <x:f>ROUNDUP(I20/H20,0)</x:f>
        <x:v>10</x:v>
      </x:c>
      <x:c r="K20" s="2" t="n">
        <x:v>16</x:v>
      </x:c>
      <x:c r="L20" s="2" t="n">
        <x:v>0</x:v>
      </x:c>
      <x:c r="M20" s="2" t="n">
        <x:f>K20-L20</x:f>
        <x:v>16</x:v>
      </x:c>
      <x:c r="N20" s="2" t="n">
        <x:f>M20-J20</x:f>
        <x:v>6</x:v>
      </x:c>
      <x:c r="O20" s="2" t="str">
        <x:v>05 预测明细 / 06 请假流水</x:v>
      </x:c>
    </x:row>
    <x:row r="21" ht="24" customHeight="1">
      <x:c r="A21" s="2" t="str">
        <x:v>K</x:v>
      </x:c>
      <x:c r="B21" s="2" t="str">
        <x:v>PM</x:v>
      </x:c>
      <x:c r="C21" s="2" t="str">
        <x:v>peak</x:v>
      </x:c>
      <x:c r="D21" s="2" t="n">
        <x:v>8</x:v>
      </x:c>
      <x:c r="E21" s="2" t="n">
        <x:v>10</x:v>
      </x:c>
      <x:c r="F21" s="16" t="n">
        <x:f>'方案参数'!B12</x:f>
        <x:v>2</x:v>
      </x:c>
      <x:c r="G21" s="16" t="n">
        <x:f>'方案参数'!B13</x:f>
        <x:v>2</x:v>
      </x:c>
      <x:c r="H21" s="16" t="n">
        <x:f>'方案参数'!B11</x:f>
        <x:v>24</x:v>
      </x:c>
      <x:c r="I21" s="2" t="n">
        <x:f>D21*E21*F21*G21</x:f>
        <x:v>320</x:v>
      </x:c>
      <x:c r="J21" s="2" t="n">
        <x:f>ROUNDUP(I21/H21,0)</x:f>
        <x:v>14</x:v>
      </x:c>
      <x:c r="K21" s="2" t="n">
        <x:v>16</x:v>
      </x:c>
      <x:c r="L21" s="2" t="n">
        <x:v>0</x:v>
      </x:c>
      <x:c r="M21" s="2" t="n">
        <x:f>K21-L21</x:f>
        <x:v>16</x:v>
      </x:c>
      <x:c r="N21" s="2" t="n">
        <x:f>M21-J21</x:f>
        <x:v>2</x:v>
      </x:c>
      <x:c r="O21" s="2" t="str">
        <x:v>05 预测明细 / 06 请假流水</x:v>
      </x:c>
    </x:row>
    <x:row r="22" ht="24" customHeight="1">
      <x:c r="A22" s="2" t="str">
        <x:v>K</x:v>
      </x:c>
      <x:c r="B22" s="2" t="str">
        <x:v>PM</x:v>
      </x:c>
      <x:c r="C22" s="2" t="str">
        <x:v>normal</x:v>
      </x:c>
      <x:c r="D22" s="2" t="n">
        <x:v>7</x:v>
      </x:c>
      <x:c r="E22" s="2" t="n">
        <x:v>10</x:v>
      </x:c>
      <x:c r="F22" s="16" t="n">
        <x:f>'方案参数'!B12</x:f>
        <x:v>2</x:v>
      </x:c>
      <x:c r="G22" s="16" t="n">
        <x:f>'方案参数'!B13</x:f>
        <x:v>2</x:v>
      </x:c>
      <x:c r="H22" s="16" t="n">
        <x:f>'方案参数'!B11</x:f>
        <x:v>24</x:v>
      </x:c>
      <x:c r="I22" s="2" t="n">
        <x:f>D22*E22*F22*G22</x:f>
        <x:v>280</x:v>
      </x:c>
      <x:c r="J22" s="2" t="n">
        <x:f>ROUNDUP(I22/H22,0)</x:f>
        <x:v>12</x:v>
      </x:c>
      <x:c r="K22" s="2" t="n">
        <x:v>16</x:v>
      </x:c>
      <x:c r="L22" s="2" t="n">
        <x:v>0</x:v>
      </x:c>
      <x:c r="M22" s="2" t="n">
        <x:f>K22-L22</x:f>
        <x:v>16</x:v>
      </x:c>
      <x:c r="N22" s="2" t="n">
        <x:f>M22-J22</x:f>
        <x:v>4</x:v>
      </x:c>
      <x:c r="O22" s="2" t="str">
        <x:v>05 预测明细 / 06 请假流水</x:v>
      </x:c>
    </x:row>
    <x:row r="23" ht="24" customHeight="1">
      <x:c r="A23" s="10" t="str">
        <x:v>K</x:v>
      </x:c>
      <x:c r="B23" s="10" t="str">
        <x:v>PM</x:v>
      </x:c>
      <x:c r="C23" s="10" t="str">
        <x:v>offpeak</x:v>
      </x:c>
      <x:c r="D23" s="10" t="n">
        <x:v>6</x:v>
      </x:c>
      <x:c r="E23" s="10" t="n">
        <x:v>10</x:v>
      </x:c>
      <x:c r="F23" s="17" t="n">
        <x:f>'方案参数'!B12</x:f>
        <x:v>2</x:v>
      </x:c>
      <x:c r="G23" s="17" t="n">
        <x:f>'方案参数'!B13</x:f>
        <x:v>2</x:v>
      </x:c>
      <x:c r="H23" s="17" t="n">
        <x:f>'方案参数'!B11</x:f>
        <x:v>24</x:v>
      </x:c>
      <x:c r="I23" s="10" t="n">
        <x:f>D23*E23*F23*G23</x:f>
        <x:v>240</x:v>
      </x:c>
      <x:c r="J23" s="10" t="n">
        <x:f>ROUNDUP(I23/H23,0)</x:f>
        <x:v>10</x:v>
      </x:c>
      <x:c r="K23" s="10" t="n">
        <x:v>16</x:v>
      </x:c>
      <x:c r="L23" s="10" t="n">
        <x:v>0</x:v>
      </x:c>
      <x:c r="M23" s="10" t="n">
        <x:f>K23-L23</x:f>
        <x:v>16</x:v>
      </x:c>
      <x:c r="N23" s="10" t="n">
        <x:f>M23-J23</x:f>
        <x:v>6</x:v>
      </x:c>
      <x:c r="O23" s="10" t="str">
        <x:v>05 预测明细 / 06 请假流水</x:v>
      </x:c>
    </x:row>
  </x:sheetData>
  <x:mergeCells>
    <x:mergeCell ref="A3:O3"/>
  </x:mergeCells>
  <x:conditionalFormatting sqref="N6:N23">
    <x:cfRule type="cellIs" dxfId="1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2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8" hidden="0" customWidth="1"/>
    <x:col min="11" max="11" width="16" hidden="0" customWidth="1"/>
    <x:col min="12" max="12" width="14" hidden="0" customWidth="1"/>
    <x:col min="13" max="13" width="56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新址课程安排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4" customHeight="1">
      <x:c r="A5" s="9" t="str">
        <x:v>组</x:v>
      </x:c>
      <x:c r="B5" s="9" t="str">
        <x:v>班次</x:v>
      </x:c>
      <x:c r="C5" s="9" t="str">
        <x:v>日期</x:v>
      </x:c>
      <x:c r="D5" s="9" t="str">
        <x:v>窗口</x:v>
      </x:c>
      <x:c r="E5" s="9" t="str">
        <x:v>基础人数</x:v>
      </x:c>
      <x:c r="F5" s="9" t="str">
        <x:v>请假</x:v>
      </x:c>
      <x:c r="G5" s="9" t="str">
        <x:v>学员</x:v>
      </x:c>
      <x:c r="H5" s="9" t="str">
        <x:v>带教</x:v>
      </x:c>
      <x:c r="I5" s="9" t="str">
        <x:v>支援</x:v>
      </x:c>
      <x:c r="J5" s="9" t="str">
        <x:v>净生产人数</x:v>
      </x:c>
      <x:c r="K5" s="9" t="str">
        <x:v>所需人数</x:v>
      </x:c>
      <x:c r="L5" s="9" t="str">
        <x:v>余量</x:v>
      </x:c>
      <x:c r="M5" s="9" t="str">
        <x:v>依据</x:v>
      </x:c>
    </x:row>
    <x:row r="6" ht="24" customHeight="1">
      <x:c r="A6" s="2" t="str">
        <x:v>G</x:v>
      </x:c>
      <x:c r="B6" s="2" t="str">
        <x:v>AM</x:v>
      </x:c>
      <x:c r="C6" s="18" t="n">
        <x:v>46330</x:v>
      </x:c>
      <x:c r="D6" s="2" t="str">
        <x:v>12:00-14:00</x:v>
      </x:c>
      <x:c r="E6" s="2" t="n">
        <x:v>16</x:v>
      </x:c>
      <x:c r="F6" s="2" t="n">
        <x:v>0</x:v>
      </x:c>
      <x:c r="G6" s="2" t="n">
        <x:v>4</x:v>
      </x:c>
      <x:c r="H6" s="2" t="n">
        <x:v>2</x:v>
      </x:c>
      <x:c r="I6" s="2" t="n">
        <x:v>0</x:v>
      </x:c>
      <x:c r="J6" s="2" t="n">
        <x:f>E6-F6-G6-H6+I6</x:f>
        <x:v>10</x:v>
      </x:c>
      <x:c r="K6" s="16" t="n">
        <x:f>'服务覆盖'!J8</x:f>
        <x:v>10</x:v>
      </x:c>
      <x:c r="L6" s="2" t="n">
        <x:f>J6-K6</x:f>
        <x:v>0</x:v>
      </x:c>
      <x:c r="M6" s="2" t="str">
        <x:v>TRN-26 / 06课程登记 / SP-R1</x:v>
      </x:c>
    </x:row>
    <x:row r="7" ht="24" customHeight="1">
      <x:c r="A7" s="2" t="str">
        <x:v>G</x:v>
      </x:c>
      <x:c r="B7" s="2" t="str">
        <x:v>PM</x:v>
      </x:c>
      <x:c r="C7" s="18" t="n">
        <x:v>46330</x:v>
      </x:c>
      <x:c r="D7" s="2" t="str">
        <x:v>18:00-20:00</x:v>
      </x:c>
      <x:c r="E7" s="2" t="n">
        <x:v>16</x:v>
      </x:c>
      <x:c r="F7" s="2" t="n">
        <x:v>0</x:v>
      </x:c>
      <x:c r="G7" s="2" t="n">
        <x:v>4</x:v>
      </x:c>
      <x:c r="H7" s="2" t="n">
        <x:v>2</x:v>
      </x:c>
      <x:c r="I7" s="2" t="n">
        <x:v>0</x:v>
      </x:c>
      <x:c r="J7" s="2" t="n">
        <x:f>E7-F7-G7-H7+I7</x:f>
        <x:v>10</x:v>
      </x:c>
      <x:c r="K7" s="16" t="n">
        <x:f>'服务覆盖'!J11</x:f>
        <x:v>10</x:v>
      </x:c>
      <x:c r="L7" s="2" t="n">
        <x:f>J7-K7</x:f>
        <x:v>0</x:v>
      </x:c>
      <x:c r="M7" s="2" t="str">
        <x:v>TRN-26 / 06课程登记 / SP-R1</x:v>
      </x:c>
    </x:row>
    <x:row r="8" ht="24" customHeight="1">
      <x:c r="A8" s="2" t="str">
        <x:v>R</x:v>
      </x:c>
      <x:c r="B8" s="2" t="str">
        <x:v>AM</x:v>
      </x:c>
      <x:c r="C8" s="18" t="n">
        <x:v>46331</x:v>
      </x:c>
      <x:c r="D8" s="2" t="str">
        <x:v>12:00-14:00</x:v>
      </x:c>
      <x:c r="E8" s="2" t="n">
        <x:v>16</x:v>
      </x:c>
      <x:c r="F8" s="2" t="n">
        <x:v>1</x:v>
      </x:c>
      <x:c r="G8" s="2" t="n">
        <x:v>4</x:v>
      </x:c>
      <x:c r="H8" s="2" t="n">
        <x:v>2</x:v>
      </x:c>
      <x:c r="I8" s="2" t="n">
        <x:v>1</x:v>
      </x:c>
      <x:c r="J8" s="2" t="n">
        <x:f>E8-F8-G8-H8+I8</x:f>
        <x:v>10</x:v>
      </x:c>
      <x:c r="K8" s="16" t="n">
        <x:f>'服务覆盖'!J14</x:f>
        <x:v>10</x:v>
      </x:c>
      <x:c r="L8" s="2" t="n">
        <x:f>J8-K8</x:f>
        <x:v>0</x:v>
      </x:c>
      <x:c r="M8" s="2" t="str">
        <x:v>TRN-26 / 06课程登记 / SP-R1</x:v>
      </x:c>
    </x:row>
    <x:row r="9" ht="24" customHeight="1">
      <x:c r="A9" s="2" t="str">
        <x:v>R</x:v>
      </x:c>
      <x:c r="B9" s="2" t="str">
        <x:v>PM</x:v>
      </x:c>
      <x:c r="C9" s="18" t="n">
        <x:v>46331</x:v>
      </x:c>
      <x:c r="D9" s="2" t="str">
        <x:v>18:00-20:00</x:v>
      </x:c>
      <x:c r="E9" s="2" t="n">
        <x:v>16</x:v>
      </x:c>
      <x:c r="F9" s="2" t="n">
        <x:v>0</x:v>
      </x:c>
      <x:c r="G9" s="2" t="n">
        <x:v>4</x:v>
      </x:c>
      <x:c r="H9" s="2" t="n">
        <x:v>2</x:v>
      </x:c>
      <x:c r="I9" s="2" t="n">
        <x:v>0</x:v>
      </x:c>
      <x:c r="J9" s="2" t="n">
        <x:f>E9-F9-G9-H9+I9</x:f>
        <x:v>10</x:v>
      </x:c>
      <x:c r="K9" s="16" t="n">
        <x:f>'服务覆盖'!J17</x:f>
        <x:v>10</x:v>
      </x:c>
      <x:c r="L9" s="2" t="n">
        <x:f>J9-K9</x:f>
        <x:v>0</x:v>
      </x:c>
      <x:c r="M9" s="2" t="str">
        <x:v>TRN-26 / 06课程登记 / SP-R1</x:v>
      </x:c>
    </x:row>
    <x:row r="10" ht="24" customHeight="1">
      <x:c r="A10" s="2" t="str">
        <x:v>K</x:v>
      </x:c>
      <x:c r="B10" s="2" t="str">
        <x:v>AM</x:v>
      </x:c>
      <x:c r="C10" s="18" t="n">
        <x:v>46330</x:v>
      </x:c>
      <x:c r="D10" s="2" t="str">
        <x:v>12:00-14:00</x:v>
      </x:c>
      <x:c r="E10" s="2" t="n">
        <x:v>16</x:v>
      </x:c>
      <x:c r="F10" s="2" t="n">
        <x:v>0</x:v>
      </x:c>
      <x:c r="G10" s="2" t="n">
        <x:v>4</x:v>
      </x:c>
      <x:c r="H10" s="2" t="n">
        <x:v>2</x:v>
      </x:c>
      <x:c r="I10" s="2" t="n">
        <x:v>0</x:v>
      </x:c>
      <x:c r="J10" s="2" t="n">
        <x:f>E10-F10-G10-H10+I10</x:f>
        <x:v>10</x:v>
      </x:c>
      <x:c r="K10" s="16" t="n">
        <x:f>'服务覆盖'!J20</x:f>
        <x:v>10</x:v>
      </x:c>
      <x:c r="L10" s="2" t="n">
        <x:f>J10-K10</x:f>
        <x:v>0</x:v>
      </x:c>
      <x:c r="M10" s="2" t="str">
        <x:v>TRN-26 / 06课程登记 / SP-R1</x:v>
      </x:c>
    </x:row>
    <x:row r="11" ht="24" customHeight="1">
      <x:c r="A11" s="10" t="str">
        <x:v>K</x:v>
      </x:c>
      <x:c r="B11" s="10" t="str">
        <x:v>PM</x:v>
      </x:c>
      <x:c r="C11" s="19" t="n">
        <x:v>46330</x:v>
      </x:c>
      <x:c r="D11" s="10" t="str">
        <x:v>18:00-20:00</x:v>
      </x:c>
      <x:c r="E11" s="10" t="n">
        <x:v>16</x:v>
      </x:c>
      <x:c r="F11" s="10" t="n">
        <x:v>0</x:v>
      </x:c>
      <x:c r="G11" s="10" t="n">
        <x:v>4</x:v>
      </x:c>
      <x:c r="H11" s="10" t="n">
        <x:v>2</x:v>
      </x:c>
      <x:c r="I11" s="10" t="n">
        <x:v>0</x:v>
      </x:c>
      <x:c r="J11" s="10" t="n">
        <x:f>E11-F11-G11-H11+I11</x:f>
        <x:v>10</x:v>
      </x:c>
      <x:c r="K11" s="17" t="n">
        <x:f>'服务覆盖'!J23</x:f>
        <x:v>10</x:v>
      </x:c>
      <x:c r="L11" s="10" t="n">
        <x:f>J11-K11</x:f>
        <x:v>0</x:v>
      </x:c>
      <x:c r="M11" s="10" t="str">
        <x:v>TRN-26 / 06课程登记 / SP-R1</x:v>
      </x:c>
    </x:row>
  </x:sheetData>
  <x:conditionalFormatting sqref="L6:L11">
    <x:cfRule type="cellIs" dxfId="2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16" hidden="0" customWidth="1"/>
    <x:col min="8" max="8" width="5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付款与收款模型</x:v>
      </x:c>
      <x:c r="B2" s="2"/>
      <x:c r="C2" s="2"/>
      <x:c r="D2" s="2"/>
      <x:c r="E2" s="2"/>
      <x:c r="F2" s="2"/>
      <x:c r="G2" s="2"/>
      <x:c r="H2" s="2"/>
    </x:row>
    <x:row r="3" ht="36" customHeight="1">
      <x:c r="A3" s="5" t="str">
        <x:v>成本标记1为非退还项目成本。历史已付160000只计成本。选项2/4设备早付，3/4使用集中搬运；按实际合同和所选排期付款。</x:v>
      </x:c>
      <x:c r="B3" s="4"/>
      <x:c r="C3" s="4"/>
      <x:c r="D3" s="4"/>
      <x:c r="E3" s="4"/>
      <x:c r="F3" s="4"/>
      <x:c r="G3" s="4"/>
      <x:c r="H3" s="4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9" t="str">
        <x:v>编号</x:v>
      </x:c>
      <x:c r="B5" s="9" t="str">
        <x:v>日期</x:v>
      </x:c>
      <x:c r="C5" s="9" t="str">
        <x:v>事项</x:v>
      </x:c>
      <x:c r="D5" s="9" t="str">
        <x:v>常规支出元</x:v>
      </x:c>
      <x:c r="E5" s="9" t="str">
        <x:v>当前支出元</x:v>
      </x:c>
      <x:c r="F5" s="9" t="str">
        <x:v>流入元</x:v>
      </x:c>
      <x:c r="G5" s="9" t="str">
        <x:v>成本标记</x:v>
      </x:c>
      <x:c r="H5" s="9" t="str">
        <x:v>来源</x:v>
      </x:c>
    </x:row>
    <x:row r="6" ht="24" customHeight="1">
      <x:c r="A6" s="2" t="str">
        <x:v>P03</x:v>
      </x:c>
      <x:c r="B6" s="18" t="n">
        <x:v>46328</x:v>
      </x:c>
      <x:c r="C6" s="2" t="str">
        <x:v>新址租金</x:v>
      </x:c>
      <x:c r="D6" s="11" t="n">
        <x:v>120000</x:v>
      </x:c>
      <x:c r="E6" s="11" t="n">
        <x:f>D6</x:f>
        <x:v>120000</x:v>
      </x:c>
      <x:c r="F6" s="11" t="n">
        <x:v>0</x:v>
      </x:c>
      <x:c r="G6" s="2" t="n">
        <x:v>1</x:v>
      </x:c>
      <x:c r="H6" s="2" t="str">
        <x:v>SITE-C1</x:v>
      </x:c>
    </x:row>
    <x:row r="7" ht="24" customHeight="1">
      <x:c r="A7" s="2" t="str">
        <x:v>P04</x:v>
      </x:c>
      <x:c r="B7" s="18" t="n">
        <x:v>46328</x:v>
      </x:c>
      <x:c r="C7" s="2" t="str">
        <x:v>新址押金</x:v>
      </x:c>
      <x:c r="D7" s="11" t="n">
        <x:v>100000</x:v>
      </x:c>
      <x:c r="E7" s="11" t="n">
        <x:f>D7</x:f>
        <x:v>100000</x:v>
      </x:c>
      <x:c r="F7" s="11" t="n">
        <x:v>0</x:v>
      </x:c>
      <x:c r="G7" s="2" t="n">
        <x:v>0</x:v>
      </x:c>
      <x:c r="H7" s="2" t="str">
        <x:v>SITE-C1</x:v>
      </x:c>
    </x:row>
    <x:row r="8" ht="24" customHeight="1">
      <x:c r="A8" s="2" t="str">
        <x:v>P05</x:v>
      </x:c>
      <x:c r="B8" s="18" t="n">
        <x:v>46329</x:v>
      </x:c>
      <x:c r="C8" s="2" t="str">
        <x:v>新网络</x:v>
      </x:c>
      <x:c r="D8" s="11" t="n">
        <x:v>30000</x:v>
      </x:c>
      <x:c r="E8" s="11" t="n">
        <x:f>D8</x:f>
        <x:v>30000</x:v>
      </x:c>
      <x:c r="F8" s="11" t="n">
        <x:v>0</x:v>
      </x:c>
      <x:c r="G8" s="2" t="n">
        <x:v>1</x:v>
      </x:c>
      <x:c r="H8" s="2" t="str">
        <x:v>NET-R2</x:v>
      </x:c>
    </x:row>
    <x:row r="9" ht="24" customHeight="1">
      <x:c r="A9" s="2" t="str">
        <x:v>P06</x:v>
      </x:c>
      <x:c r="B9" s="18" t="n">
        <x:v>46331</x:v>
      </x:c>
      <x:c r="C9" s="2" t="str">
        <x:v>培训</x:v>
      </x:c>
      <x:c r="D9" s="11" t="n">
        <x:v>24000</x:v>
      </x:c>
      <x:c r="E9" s="11" t="n">
        <x:f>D9</x:f>
        <x:v>24000</x:v>
      </x:c>
      <x:c r="F9" s="11" t="n">
        <x:v>0</x:v>
      </x:c>
      <x:c r="G9" s="2" t="n">
        <x:v>1</x:v>
      </x:c>
      <x:c r="H9" s="2" t="str">
        <x:v>TRN-26</x:v>
      </x:c>
    </x:row>
    <x:row r="10" ht="24" customHeight="1">
      <x:c r="A10" s="2" t="str">
        <x:v>P07</x:v>
      </x:c>
      <x:c r="B10" s="18" t="n">
        <x:v>46331</x:v>
      </x:c>
      <x:c r="C10" s="2" t="str">
        <x:v>远诊支援</x:v>
      </x:c>
      <x:c r="D10" s="11" t="n">
        <x:v>8000</x:v>
      </x:c>
      <x:c r="E10" s="11" t="n">
        <x:f>D10</x:f>
        <x:v>8000</x:v>
      </x:c>
      <x:c r="F10" s="11" t="n">
        <x:v>0</x:v>
      </x:c>
      <x:c r="G10" s="2" t="n">
        <x:v>1</x:v>
      </x:c>
      <x:c r="H10" s="2" t="str">
        <x:v>Q-R1</x:v>
      </x:c>
    </x:row>
    <x:row r="11" ht="24" customHeight="1">
      <x:c r="A11" s="2" t="str">
        <x:v>P08</x:v>
      </x:c>
      <x:c r="B11" s="18" t="n">
        <x:v>46332</x:v>
      </x:c>
      <x:c r="C11" s="2" t="str">
        <x:v>装修尾款</x:v>
      </x:c>
      <x:c r="D11" s="11" t="n">
        <x:v>60000</x:v>
      </x:c>
      <x:c r="E11" s="11" t="n">
        <x:f>D11</x:f>
        <x:v>60000</x:v>
      </x:c>
      <x:c r="F11" s="11" t="n">
        <x:v>0</x:v>
      </x:c>
      <x:c r="G11" s="2" t="n">
        <x:v>1</x:v>
      </x:c>
      <x:c r="H11" s="2" t="str">
        <x:v>FIT-S1</x:v>
      </x:c>
    </x:row>
    <x:row r="12" ht="24" customHeight="1">
      <x:c r="A12" s="2" t="str">
        <x:v>P09</x:v>
      </x:c>
      <x:c r="B12" s="18" t="n">
        <x:v>46332</x:v>
      </x:c>
      <x:c r="C12" s="2" t="str">
        <x:v>设备阶段款</x:v>
      </x:c>
      <x:c r="D12" s="11" t="n">
        <x:v>40000</x:v>
      </x:c>
      <x:c r="E12" s="20" t="n">
        <x:f>IF(OR('方案参数'!B6=2,'方案参数'!B6=4),'方案参数'!B15,D12)</x:f>
        <x:v>40000</x:v>
      </x:c>
      <x:c r="F12" s="11" t="n">
        <x:v>0</x:v>
      </x:c>
      <x:c r="G12" s="2" t="n">
        <x:v>1</x:v>
      </x:c>
      <x:c r="H12" s="2" t="str">
        <x:v>EQUIP-S1</x:v>
      </x:c>
    </x:row>
    <x:row r="13" ht="24" customHeight="1">
      <x:c r="A13" s="2" t="str">
        <x:v>P10</x:v>
      </x:c>
      <x:c r="B13" s="18" t="n">
        <x:v>46332</x:v>
      </x:c>
      <x:c r="C13" s="2" t="str">
        <x:v>旧址租金</x:v>
      </x:c>
      <x:c r="D13" s="11" t="n">
        <x:v>48000</x:v>
      </x:c>
      <x:c r="E13" s="11" t="n">
        <x:f>D13</x:f>
        <x:v>48000</x:v>
      </x:c>
      <x:c r="F13" s="11" t="n">
        <x:v>0</x:v>
      </x:c>
      <x:c r="G13" s="2" t="n">
        <x:v>1</x:v>
      </x:c>
      <x:c r="H13" s="2" t="str">
        <x:v>SITE-A2</x:v>
      </x:c>
    </x:row>
    <x:row r="14" ht="24" customHeight="1">
      <x:c r="A14" s="2" t="str">
        <x:v>P11</x:v>
      </x:c>
      <x:c r="B14" s="18" t="n">
        <x:v>46332</x:v>
      </x:c>
      <x:c r="C14" s="2" t="str">
        <x:v>旧线保留</x:v>
      </x:c>
      <x:c r="D14" s="11" t="n">
        <x:v>12000</x:v>
      </x:c>
      <x:c r="E14" s="11" t="n">
        <x:f>D14</x:f>
        <x:v>12000</x:v>
      </x:c>
      <x:c r="F14" s="11" t="n">
        <x:v>0</x:v>
      </x:c>
      <x:c r="G14" s="2" t="n">
        <x:v>1</x:v>
      </x:c>
      <x:c r="H14" s="2" t="str">
        <x:v>NET-R2</x:v>
      </x:c>
    </x:row>
    <x:row r="15" ht="24" customHeight="1">
      <x:c r="A15" s="2" t="str">
        <x:v>P12</x:v>
      </x:c>
      <x:c r="B15" s="18" t="n">
        <x:v>46335</x:v>
      </x:c>
      <x:c r="C15" s="2" t="str">
        <x:v>搬运批次</x:v>
      </x:c>
      <x:c r="D15" s="11" t="n">
        <x:v>20000</x:v>
      </x:c>
      <x:c r="E15" s="20" t="n">
        <x:f>IF(OR('方案参数'!B6=3,'方案参数'!B6=4),0,D15)</x:f>
        <x:v>20000</x:v>
      </x:c>
      <x:c r="F15" s="11" t="n">
        <x:v>0</x:v>
      </x:c>
      <x:c r="G15" s="2" t="n">
        <x:v>1</x:v>
      </x:c>
      <x:c r="H15" s="2" t="str">
        <x:v>MOVE-L</x:v>
      </x:c>
    </x:row>
    <x:row r="16" ht="24" customHeight="1">
      <x:c r="A16" s="2" t="str">
        <x:v>P13</x:v>
      </x:c>
      <x:c r="B16" s="18" t="n">
        <x:v>46335</x:v>
      </x:c>
      <x:c r="C16" s="2" t="str">
        <x:v>保险</x:v>
      </x:c>
      <x:c r="D16" s="11" t="n">
        <x:v>6000</x:v>
      </x:c>
      <x:c r="E16" s="11" t="n">
        <x:f>D16</x:f>
        <x:v>6000</x:v>
      </x:c>
      <x:c r="F16" s="11" t="n">
        <x:v>0</x:v>
      </x:c>
      <x:c r="G16" s="2" t="n">
        <x:v>1</x:v>
      </x:c>
      <x:c r="H16" s="2" t="str">
        <x:v>INS-26</x:v>
      </x:c>
    </x:row>
    <x:row r="17" ht="24" customHeight="1">
      <x:c r="A17" s="2" t="str">
        <x:v>P14</x:v>
      </x:c>
      <x:c r="B17" s="18" t="n">
        <x:v>46336</x:v>
      </x:c>
      <x:c r="C17" s="2" t="str">
        <x:v>软件</x:v>
      </x:c>
      <x:c r="D17" s="11" t="n">
        <x:v>80000</x:v>
      </x:c>
      <x:c r="E17" s="11" t="n">
        <x:f>D17</x:f>
        <x:v>80000</x:v>
      </x:c>
      <x:c r="F17" s="11" t="n">
        <x:v>0</x:v>
      </x:c>
      <x:c r="G17" s="2" t="n">
        <x:v>1</x:v>
      </x:c>
      <x:c r="H17" s="2" t="str">
        <x:v>SYS-S2</x:v>
      </x:c>
    </x:row>
    <x:row r="18" ht="24" customHeight="1">
      <x:c r="A18" s="2" t="str">
        <x:v>P15</x:v>
      </x:c>
      <x:c r="B18" s="18" t="n">
        <x:v>46338</x:v>
      </x:c>
      <x:c r="C18" s="2" t="str">
        <x:v>搬运批次</x:v>
      </x:c>
      <x:c r="D18" s="11" t="n">
        <x:v>20000</x:v>
      </x:c>
      <x:c r="E18" s="20" t="n">
        <x:f>IF(OR('方案参数'!B6=3,'方案参数'!B6=4),0,D18)</x:f>
        <x:v>20000</x:v>
      </x:c>
      <x:c r="F18" s="11" t="n">
        <x:v>0</x:v>
      </x:c>
      <x:c r="G18" s="2" t="n">
        <x:v>1</x:v>
      </x:c>
      <x:c r="H18" s="2" t="str">
        <x:v>MOVE-L</x:v>
      </x:c>
    </x:row>
    <x:row r="19" ht="24" customHeight="1">
      <x:c r="A19" s="2" t="str">
        <x:v>P16</x:v>
      </x:c>
      <x:c r="B19" s="18" t="n">
        <x:v>46342</x:v>
      </x:c>
      <x:c r="C19" s="2" t="str">
        <x:v>设备验收款</x:v>
      </x:c>
      <x:c r="D19" s="11" t="n">
        <x:v>160000</x:v>
      </x:c>
      <x:c r="E19" s="20" t="n">
        <x:f>IF(OR('方案参数'!B6=2,'方案参数'!B6=4),0,'方案参数'!B16)</x:f>
        <x:v>160000</x:v>
      </x:c>
      <x:c r="F19" s="11" t="n">
        <x:v>0</x:v>
      </x:c>
      <x:c r="G19" s="2" t="n">
        <x:v>1</x:v>
      </x:c>
      <x:c r="H19" s="2" t="str">
        <x:v>EQUIP-S1</x:v>
      </x:c>
    </x:row>
    <x:row r="20" ht="24" customHeight="1">
      <x:c r="A20" s="2" t="str">
        <x:v>P17</x:v>
      </x:c>
      <x:c r="B20" s="18" t="n">
        <x:v>46342</x:v>
      </x:c>
      <x:c r="C20" s="2" t="str">
        <x:v>搬运批次</x:v>
      </x:c>
      <x:c r="D20" s="11" t="n">
        <x:v>20000</x:v>
      </x:c>
      <x:c r="E20" s="20" t="n">
        <x:f>IF(OR('方案参数'!B6=3,'方案参数'!B6=4),'方案参数'!B17,D20)</x:f>
        <x:v>20000</x:v>
      </x:c>
      <x:c r="F20" s="11" t="n">
        <x:v>0</x:v>
      </x:c>
      <x:c r="G20" s="2" t="n">
        <x:v>1</x:v>
      </x:c>
      <x:c r="H20" s="2" t="str">
        <x:v>MOVE-L</x:v>
      </x:c>
    </x:row>
    <x:row r="21" ht="24" customHeight="1">
      <x:c r="A21" s="2" t="str">
        <x:v>IN01</x:v>
      </x:c>
      <x:c r="B21" s="18" t="n">
        <x:v>46339</x:v>
      </x:c>
      <x:c r="C21" s="2" t="str">
        <x:v>核准拨入</x:v>
      </x:c>
      <x:c r="D21" s="11" t="n">
        <x:v>0</x:v>
      </x:c>
      <x:c r="E21" s="11" t="n">
        <x:f>D21</x:f>
        <x:v>0</x:v>
      </x:c>
      <x:c r="F21" s="11" t="n">
        <x:v>300000</x:v>
      </x:c>
      <x:c r="G21" s="2" t="n">
        <x:v>0</x:v>
      </x:c>
      <x:c r="H21" s="2" t="str">
        <x:v>TRF-1113</x:v>
      </x:c>
    </x:row>
    <x:row r="22" ht="24" customHeight="1">
      <x:c r="A22" s="10" t="str">
        <x:v>IN02</x:v>
      </x:c>
      <x:c r="B22" s="19" t="n">
        <x:v>46353</x:v>
      </x:c>
      <x:c r="C22" s="10" t="str">
        <x:v>旧址退押</x:v>
      </x:c>
      <x:c r="D22" s="21" t="n">
        <x:v>0</x:v>
      </x:c>
      <x:c r="E22" s="21" t="n">
        <x:f>D22</x:f>
        <x:v>0</x:v>
      </x:c>
      <x:c r="F22" s="21" t="n">
        <x:v>80000</x:v>
      </x:c>
      <x:c r="G22" s="10" t="n">
        <x:v>0</x:v>
      </x:c>
      <x:c r="H22" s="10" t="str">
        <x:v>SITE-A2 11/20交接后5工作日</x:v>
      </x:c>
    </x:row>
  </x:sheetData>
  <x:mergeCells>
    <x:mergeCell ref="A3:H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计划期现金余额</x:v>
      </x:c>
      <x:c r="B2" s="2"/>
      <x:c r="C2" s="2"/>
      <x:c r="D2" s="2"/>
      <x:c r="E2" s="2"/>
      <x:c r="F2" s="2"/>
    </x:row>
    <x:row r="3" ht="36" customHeight="1">
      <x:c r="A3" s="5" t="str">
        <x:v>按约定先收后付时点逐日归集，11/13拨入09:00。截止11/27；储备未动用不扣现金。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日期</x:v>
      </x:c>
      <x:c r="B5" s="9" t="str">
        <x:v>期初元</x:v>
      </x:c>
      <x:c r="C5" s="9" t="str">
        <x:v>流入元</x:v>
      </x:c>
      <x:c r="D5" s="9" t="str">
        <x:v>流出元</x:v>
      </x:c>
      <x:c r="E5" s="9" t="str">
        <x:v>期末元</x:v>
      </x:c>
      <x:c r="F5" s="9" t="str">
        <x:v>最低保有余量元</x:v>
      </x:c>
    </x:row>
    <x:row r="6" ht="24" customHeight="1">
      <x:c r="A6" s="18" t="n">
        <x:v>46325</x:v>
      </x:c>
      <x:c r="B6" s="20" t="n">
        <x:f>'方案参数'!B7</x:f>
        <x:v>740000</x:v>
      </x:c>
      <x:c r="C6" s="20" t="n">
        <x:f>SUMIFS('资金事项'!$F$6:$F$22,'资金事项'!$B$6:$B$22,A6)</x:f>
        <x:v>0</x:v>
      </x:c>
      <x:c r="D6" s="20" t="n">
        <x:f>SUMIFS('资金事项'!$E$6:$E$22,'资金事项'!$B$6:$B$22,A6)</x:f>
        <x:v>0</x:v>
      </x:c>
      <x:c r="E6" s="11" t="n">
        <x:f>B6+C6-D6</x:f>
        <x:v>740000</x:v>
      </x:c>
      <x:c r="F6" s="20" t="n">
        <x:f>E6-'方案参数'!B8</x:f>
        <x:v>690000</x:v>
      </x:c>
    </x:row>
    <x:row r="7" ht="24" customHeight="1">
      <x:c r="A7" s="18" t="n">
        <x:v>46326</x:v>
      </x:c>
      <x:c r="B7" s="11" t="n">
        <x:f>E6</x:f>
        <x:v>740000</x:v>
      </x:c>
      <x:c r="C7" s="20" t="n">
        <x:f>SUMIFS('资金事项'!$F$6:$F$22,'资金事项'!$B$6:$B$22,A7)</x:f>
        <x:v>0</x:v>
      </x:c>
      <x:c r="D7" s="20" t="n">
        <x:f>SUMIFS('资金事项'!$E$6:$E$22,'资金事项'!$B$6:$B$22,A7)</x:f>
        <x:v>0</x:v>
      </x:c>
      <x:c r="E7" s="11" t="n">
        <x:f>B7+C7-D7</x:f>
        <x:v>740000</x:v>
      </x:c>
      <x:c r="F7" s="20" t="n">
        <x:f>E7-'方案参数'!B8</x:f>
        <x:v>690000</x:v>
      </x:c>
    </x:row>
    <x:row r="8" ht="24" customHeight="1">
      <x:c r="A8" s="18" t="n">
        <x:v>46327</x:v>
      </x:c>
      <x:c r="B8" s="11" t="n">
        <x:f>E7</x:f>
        <x:v>740000</x:v>
      </x:c>
      <x:c r="C8" s="20" t="n">
        <x:f>SUMIFS('资金事项'!$F$6:$F$22,'资金事项'!$B$6:$B$22,A8)</x:f>
        <x:v>0</x:v>
      </x:c>
      <x:c r="D8" s="20" t="n">
        <x:f>SUMIFS('资金事项'!$E$6:$E$22,'资金事项'!$B$6:$B$22,A8)</x:f>
        <x:v>0</x:v>
      </x:c>
      <x:c r="E8" s="11" t="n">
        <x:f>B8+C8-D8</x:f>
        <x:v>740000</x:v>
      </x:c>
      <x:c r="F8" s="20" t="n">
        <x:f>E8-'方案参数'!B8</x:f>
        <x:v>690000</x:v>
      </x:c>
    </x:row>
    <x:row r="9" ht="24" customHeight="1">
      <x:c r="A9" s="18" t="n">
        <x:v>46328</x:v>
      </x:c>
      <x:c r="B9" s="11" t="n">
        <x:f>E8</x:f>
        <x:v>740000</x:v>
      </x:c>
      <x:c r="C9" s="20" t="n">
        <x:f>SUMIFS('资金事项'!$F$6:$F$22,'资金事项'!$B$6:$B$22,A9)</x:f>
        <x:v>0</x:v>
      </x:c>
      <x:c r="D9" s="20" t="n">
        <x:f>SUMIFS('资金事项'!$E$6:$E$22,'资金事项'!$B$6:$B$22,A9)</x:f>
        <x:v>220000</x:v>
      </x:c>
      <x:c r="E9" s="11" t="n">
        <x:f>B9+C9-D9</x:f>
        <x:v>520000</x:v>
      </x:c>
      <x:c r="F9" s="20" t="n">
        <x:f>E9-'方案参数'!B8</x:f>
        <x:v>470000</x:v>
      </x:c>
    </x:row>
    <x:row r="10" ht="24" customHeight="1">
      <x:c r="A10" s="18" t="n">
        <x:v>46329</x:v>
      </x:c>
      <x:c r="B10" s="11" t="n">
        <x:f>E9</x:f>
        <x:v>520000</x:v>
      </x:c>
      <x:c r="C10" s="20" t="n">
        <x:f>SUMIFS('资金事项'!$F$6:$F$22,'资金事项'!$B$6:$B$22,A10)</x:f>
        <x:v>0</x:v>
      </x:c>
      <x:c r="D10" s="20" t="n">
        <x:f>SUMIFS('资金事项'!$E$6:$E$22,'资金事项'!$B$6:$B$22,A10)</x:f>
        <x:v>30000</x:v>
      </x:c>
      <x:c r="E10" s="11" t="n">
        <x:f>B10+C10-D10</x:f>
        <x:v>490000</x:v>
      </x:c>
      <x:c r="F10" s="20" t="n">
        <x:f>E10-'方案参数'!B8</x:f>
        <x:v>440000</x:v>
      </x:c>
    </x:row>
    <x:row r="11" ht="24" customHeight="1">
      <x:c r="A11" s="18" t="n">
        <x:v>46330</x:v>
      </x:c>
      <x:c r="B11" s="11" t="n">
        <x:f>E10</x:f>
        <x:v>490000</x:v>
      </x:c>
      <x:c r="C11" s="20" t="n">
        <x:f>SUMIFS('资金事项'!$F$6:$F$22,'资金事项'!$B$6:$B$22,A11)</x:f>
        <x:v>0</x:v>
      </x:c>
      <x:c r="D11" s="20" t="n">
        <x:f>SUMIFS('资金事项'!$E$6:$E$22,'资金事项'!$B$6:$B$22,A11)</x:f>
        <x:v>0</x:v>
      </x:c>
      <x:c r="E11" s="11" t="n">
        <x:f>B11+C11-D11</x:f>
        <x:v>490000</x:v>
      </x:c>
      <x:c r="F11" s="20" t="n">
        <x:f>E11-'方案参数'!B8</x:f>
        <x:v>440000</x:v>
      </x:c>
    </x:row>
    <x:row r="12" ht="24" customHeight="1">
      <x:c r="A12" s="18" t="n">
        <x:v>46331</x:v>
      </x:c>
      <x:c r="B12" s="11" t="n">
        <x:f>E11</x:f>
        <x:v>490000</x:v>
      </x:c>
      <x:c r="C12" s="20" t="n">
        <x:f>SUMIFS('资金事项'!$F$6:$F$22,'资金事项'!$B$6:$B$22,A12)</x:f>
        <x:v>0</x:v>
      </x:c>
      <x:c r="D12" s="20" t="n">
        <x:f>SUMIFS('资金事项'!$E$6:$E$22,'资金事项'!$B$6:$B$22,A12)</x:f>
        <x:v>32000</x:v>
      </x:c>
      <x:c r="E12" s="11" t="n">
        <x:f>B12+C12-D12</x:f>
        <x:v>458000</x:v>
      </x:c>
      <x:c r="F12" s="20" t="n">
        <x:f>E12-'方案参数'!B8</x:f>
        <x:v>408000</x:v>
      </x:c>
    </x:row>
    <x:row r="13" ht="24" customHeight="1">
      <x:c r="A13" s="18" t="n">
        <x:v>46332</x:v>
      </x:c>
      <x:c r="B13" s="11" t="n">
        <x:f>E12</x:f>
        <x:v>458000</x:v>
      </x:c>
      <x:c r="C13" s="20" t="n">
        <x:f>SUMIFS('资金事项'!$F$6:$F$22,'资金事项'!$B$6:$B$22,A13)</x:f>
        <x:v>0</x:v>
      </x:c>
      <x:c r="D13" s="20" t="n">
        <x:f>SUMIFS('资金事项'!$E$6:$E$22,'资金事项'!$B$6:$B$22,A13)</x:f>
        <x:v>160000</x:v>
      </x:c>
      <x:c r="E13" s="11" t="n">
        <x:f>B13+C13-D13</x:f>
        <x:v>298000</x:v>
      </x:c>
      <x:c r="F13" s="20" t="n">
        <x:f>E13-'方案参数'!B8</x:f>
        <x:v>248000</x:v>
      </x:c>
    </x:row>
    <x:row r="14" ht="24" customHeight="1">
      <x:c r="A14" s="18" t="n">
        <x:v>46333</x:v>
      </x:c>
      <x:c r="B14" s="11" t="n">
        <x:f>E13</x:f>
        <x:v>298000</x:v>
      </x:c>
      <x:c r="C14" s="20" t="n">
        <x:f>SUMIFS('资金事项'!$F$6:$F$22,'资金事项'!$B$6:$B$22,A14)</x:f>
        <x:v>0</x:v>
      </x:c>
      <x:c r="D14" s="20" t="n">
        <x:f>SUMIFS('资金事项'!$E$6:$E$22,'资金事项'!$B$6:$B$22,A14)</x:f>
        <x:v>0</x:v>
      </x:c>
      <x:c r="E14" s="11" t="n">
        <x:f>B14+C14-D14</x:f>
        <x:v>298000</x:v>
      </x:c>
      <x:c r="F14" s="20" t="n">
        <x:f>E14-'方案参数'!B8</x:f>
        <x:v>248000</x:v>
      </x:c>
    </x:row>
    <x:row r="15" ht="24" customHeight="1">
      <x:c r="A15" s="18" t="n">
        <x:v>46334</x:v>
      </x:c>
      <x:c r="B15" s="11" t="n">
        <x:f>E14</x:f>
        <x:v>298000</x:v>
      </x:c>
      <x:c r="C15" s="20" t="n">
        <x:f>SUMIFS('资金事项'!$F$6:$F$22,'资金事项'!$B$6:$B$22,A15)</x:f>
        <x:v>0</x:v>
      </x:c>
      <x:c r="D15" s="20" t="n">
        <x:f>SUMIFS('资金事项'!$E$6:$E$22,'资金事项'!$B$6:$B$22,A15)</x:f>
        <x:v>0</x:v>
      </x:c>
      <x:c r="E15" s="11" t="n">
        <x:f>B15+C15-D15</x:f>
        <x:v>298000</x:v>
      </x:c>
      <x:c r="F15" s="20" t="n">
        <x:f>E15-'方案参数'!B8</x:f>
        <x:v>248000</x:v>
      </x:c>
    </x:row>
    <x:row r="16" ht="24" customHeight="1">
      <x:c r="A16" s="18" t="n">
        <x:v>46335</x:v>
      </x:c>
      <x:c r="B16" s="11" t="n">
        <x:f>E15</x:f>
        <x:v>298000</x:v>
      </x:c>
      <x:c r="C16" s="20" t="n">
        <x:f>SUMIFS('资金事项'!$F$6:$F$22,'资金事项'!$B$6:$B$22,A16)</x:f>
        <x:v>0</x:v>
      </x:c>
      <x:c r="D16" s="20" t="n">
        <x:f>SUMIFS('资金事项'!$E$6:$E$22,'资金事项'!$B$6:$B$22,A16)</x:f>
        <x:v>26000</x:v>
      </x:c>
      <x:c r="E16" s="11" t="n">
        <x:f>B16+C16-D16</x:f>
        <x:v>272000</x:v>
      </x:c>
      <x:c r="F16" s="20" t="n">
        <x:f>E16-'方案参数'!B8</x:f>
        <x:v>222000</x:v>
      </x:c>
    </x:row>
    <x:row r="17" ht="24" customHeight="1">
      <x:c r="A17" s="18" t="n">
        <x:v>46336</x:v>
      </x:c>
      <x:c r="B17" s="11" t="n">
        <x:f>E16</x:f>
        <x:v>272000</x:v>
      </x:c>
      <x:c r="C17" s="20" t="n">
        <x:f>SUMIFS('资金事项'!$F$6:$F$22,'资金事项'!$B$6:$B$22,A17)</x:f>
        <x:v>0</x:v>
      </x:c>
      <x:c r="D17" s="20" t="n">
        <x:f>SUMIFS('资金事项'!$E$6:$E$22,'资金事项'!$B$6:$B$22,A17)</x:f>
        <x:v>80000</x:v>
      </x:c>
      <x:c r="E17" s="11" t="n">
        <x:f>B17+C17-D17</x:f>
        <x:v>192000</x:v>
      </x:c>
      <x:c r="F17" s="20" t="n">
        <x:f>E17-'方案参数'!B8</x:f>
        <x:v>142000</x:v>
      </x:c>
    </x:row>
    <x:row r="18" ht="24" customHeight="1">
      <x:c r="A18" s="18" t="n">
        <x:v>46337</x:v>
      </x:c>
      <x:c r="B18" s="11" t="n">
        <x:f>E17</x:f>
        <x:v>192000</x:v>
      </x:c>
      <x:c r="C18" s="20" t="n">
        <x:f>SUMIFS('资金事项'!$F$6:$F$22,'资金事项'!$B$6:$B$22,A18)</x:f>
        <x:v>0</x:v>
      </x:c>
      <x:c r="D18" s="20" t="n">
        <x:f>SUMIFS('资金事项'!$E$6:$E$22,'资金事项'!$B$6:$B$22,A18)</x:f>
        <x:v>0</x:v>
      </x:c>
      <x:c r="E18" s="11" t="n">
        <x:f>B18+C18-D18</x:f>
        <x:v>192000</x:v>
      </x:c>
      <x:c r="F18" s="20" t="n">
        <x:f>E18-'方案参数'!B8</x:f>
        <x:v>142000</x:v>
      </x:c>
    </x:row>
    <x:row r="19" ht="24" customHeight="1">
      <x:c r="A19" s="18" t="n">
        <x:v>46338</x:v>
      </x:c>
      <x:c r="B19" s="11" t="n">
        <x:f>E18</x:f>
        <x:v>192000</x:v>
      </x:c>
      <x:c r="C19" s="20" t="n">
        <x:f>SUMIFS('资金事项'!$F$6:$F$22,'资金事项'!$B$6:$B$22,A19)</x:f>
        <x:v>0</x:v>
      </x:c>
      <x:c r="D19" s="20" t="n">
        <x:f>SUMIFS('资金事项'!$E$6:$E$22,'资金事项'!$B$6:$B$22,A19)</x:f>
        <x:v>20000</x:v>
      </x:c>
      <x:c r="E19" s="11" t="n">
        <x:f>B19+C19-D19</x:f>
        <x:v>172000</x:v>
      </x:c>
      <x:c r="F19" s="20" t="n">
        <x:f>E19-'方案参数'!B8</x:f>
        <x:v>122000</x:v>
      </x:c>
    </x:row>
    <x:row r="20" ht="24" customHeight="1">
      <x:c r="A20" s="18" t="n">
        <x:v>46339</x:v>
      </x:c>
      <x:c r="B20" s="11" t="n">
        <x:f>E19</x:f>
        <x:v>172000</x:v>
      </x:c>
      <x:c r="C20" s="20" t="n">
        <x:f>SUMIFS('资金事项'!$F$6:$F$22,'资金事项'!$B$6:$B$22,A20)</x:f>
        <x:v>300000</x:v>
      </x:c>
      <x:c r="D20" s="20" t="n">
        <x:f>SUMIFS('资金事项'!$E$6:$E$22,'资金事项'!$B$6:$B$22,A20)</x:f>
        <x:v>0</x:v>
      </x:c>
      <x:c r="E20" s="11" t="n">
        <x:f>B20+C20-D20</x:f>
        <x:v>472000</x:v>
      </x:c>
      <x:c r="F20" s="20" t="n">
        <x:f>E20-'方案参数'!B8</x:f>
        <x:v>422000</x:v>
      </x:c>
    </x:row>
    <x:row r="21" ht="24" customHeight="1">
      <x:c r="A21" s="18" t="n">
        <x:v>46340</x:v>
      </x:c>
      <x:c r="B21" s="11" t="n">
        <x:f>E20</x:f>
        <x:v>472000</x:v>
      </x:c>
      <x:c r="C21" s="20" t="n">
        <x:f>SUMIFS('资金事项'!$F$6:$F$22,'资金事项'!$B$6:$B$22,A21)</x:f>
        <x:v>0</x:v>
      </x:c>
      <x:c r="D21" s="20" t="n">
        <x:f>SUMIFS('资金事项'!$E$6:$E$22,'资金事项'!$B$6:$B$22,A21)</x:f>
        <x:v>0</x:v>
      </x:c>
      <x:c r="E21" s="11" t="n">
        <x:f>B21+C21-D21</x:f>
        <x:v>472000</x:v>
      </x:c>
      <x:c r="F21" s="20" t="n">
        <x:f>E21-'方案参数'!B8</x:f>
        <x:v>422000</x:v>
      </x:c>
    </x:row>
    <x:row r="22" ht="24" customHeight="1">
      <x:c r="A22" s="18" t="n">
        <x:v>46341</x:v>
      </x:c>
      <x:c r="B22" s="11" t="n">
        <x:f>E21</x:f>
        <x:v>472000</x:v>
      </x:c>
      <x:c r="C22" s="20" t="n">
        <x:f>SUMIFS('资金事项'!$F$6:$F$22,'资金事项'!$B$6:$B$22,A22)</x:f>
        <x:v>0</x:v>
      </x:c>
      <x:c r="D22" s="20" t="n">
        <x:f>SUMIFS('资金事项'!$E$6:$E$22,'资金事项'!$B$6:$B$22,A22)</x:f>
        <x:v>0</x:v>
      </x:c>
      <x:c r="E22" s="11" t="n">
        <x:f>B22+C22-D22</x:f>
        <x:v>472000</x:v>
      </x:c>
      <x:c r="F22" s="20" t="n">
        <x:f>E22-'方案参数'!B8</x:f>
        <x:v>422000</x:v>
      </x:c>
    </x:row>
    <x:row r="23" ht="24" customHeight="1">
      <x:c r="A23" s="18" t="n">
        <x:v>46342</x:v>
      </x:c>
      <x:c r="B23" s="11" t="n">
        <x:f>E22</x:f>
        <x:v>472000</x:v>
      </x:c>
      <x:c r="C23" s="20" t="n">
        <x:f>SUMIFS('资金事项'!$F$6:$F$22,'资金事项'!$B$6:$B$22,A23)</x:f>
        <x:v>0</x:v>
      </x:c>
      <x:c r="D23" s="20" t="n">
        <x:f>SUMIFS('资金事项'!$E$6:$E$22,'资金事项'!$B$6:$B$22,A23)</x:f>
        <x:v>180000</x:v>
      </x:c>
      <x:c r="E23" s="11" t="n">
        <x:f>B23+C23-D23</x:f>
        <x:v>292000</x:v>
      </x:c>
      <x:c r="F23" s="20" t="n">
        <x:f>E23-'方案参数'!B8</x:f>
        <x:v>242000</x:v>
      </x:c>
    </x:row>
    <x:row r="24" ht="24" customHeight="1">
      <x:c r="A24" s="18" t="n">
        <x:v>46343</x:v>
      </x:c>
      <x:c r="B24" s="11" t="n">
        <x:f>E23</x:f>
        <x:v>292000</x:v>
      </x:c>
      <x:c r="C24" s="20" t="n">
        <x:f>SUMIFS('资金事项'!$F$6:$F$22,'资金事项'!$B$6:$B$22,A24)</x:f>
        <x:v>0</x:v>
      </x:c>
      <x:c r="D24" s="20" t="n">
        <x:f>SUMIFS('资金事项'!$E$6:$E$22,'资金事项'!$B$6:$B$22,A24)</x:f>
        <x:v>0</x:v>
      </x:c>
      <x:c r="E24" s="11" t="n">
        <x:f>B24+C24-D24</x:f>
        <x:v>292000</x:v>
      </x:c>
      <x:c r="F24" s="20" t="n">
        <x:f>E24-'方案参数'!B8</x:f>
        <x:v>242000</x:v>
      </x:c>
    </x:row>
    <x:row r="25" ht="24" customHeight="1">
      <x:c r="A25" s="18" t="n">
        <x:v>46344</x:v>
      </x:c>
      <x:c r="B25" s="11" t="n">
        <x:f>E24</x:f>
        <x:v>292000</x:v>
      </x:c>
      <x:c r="C25" s="20" t="n">
        <x:f>SUMIFS('资金事项'!$F$6:$F$22,'资金事项'!$B$6:$B$22,A25)</x:f>
        <x:v>0</x:v>
      </x:c>
      <x:c r="D25" s="20" t="n">
        <x:f>SUMIFS('资金事项'!$E$6:$E$22,'资金事项'!$B$6:$B$22,A25)</x:f>
        <x:v>0</x:v>
      </x:c>
      <x:c r="E25" s="11" t="n">
        <x:f>B25+C25-D25</x:f>
        <x:v>292000</x:v>
      </x:c>
      <x:c r="F25" s="20" t="n">
        <x:f>E25-'方案参数'!B8</x:f>
        <x:v>242000</x:v>
      </x:c>
    </x:row>
    <x:row r="26" ht="24" customHeight="1">
      <x:c r="A26" s="18" t="n">
        <x:v>46345</x:v>
      </x:c>
      <x:c r="B26" s="11" t="n">
        <x:f>E25</x:f>
        <x:v>292000</x:v>
      </x:c>
      <x:c r="C26" s="20" t="n">
        <x:f>SUMIFS('资金事项'!$F$6:$F$22,'资金事项'!$B$6:$B$22,A26)</x:f>
        <x:v>0</x:v>
      </x:c>
      <x:c r="D26" s="20" t="n">
        <x:f>SUMIFS('资金事项'!$E$6:$E$22,'资金事项'!$B$6:$B$22,A26)</x:f>
        <x:v>0</x:v>
      </x:c>
      <x:c r="E26" s="11" t="n">
        <x:f>B26+C26-D26</x:f>
        <x:v>292000</x:v>
      </x:c>
      <x:c r="F26" s="20" t="n">
        <x:f>E26-'方案参数'!B8</x:f>
        <x:v>242000</x:v>
      </x:c>
    </x:row>
    <x:row r="27" ht="24" customHeight="1">
      <x:c r="A27" s="18" t="n">
        <x:v>46346</x:v>
      </x:c>
      <x:c r="B27" s="11" t="n">
        <x:f>E26</x:f>
        <x:v>292000</x:v>
      </x:c>
      <x:c r="C27" s="20" t="n">
        <x:f>SUMIFS('资金事项'!$F$6:$F$22,'资金事项'!$B$6:$B$22,A27)</x:f>
        <x:v>0</x:v>
      </x:c>
      <x:c r="D27" s="20" t="n">
        <x:f>SUMIFS('资金事项'!$E$6:$E$22,'资金事项'!$B$6:$B$22,A27)</x:f>
        <x:v>0</x:v>
      </x:c>
      <x:c r="E27" s="11" t="n">
        <x:f>B27+C27-D27</x:f>
        <x:v>292000</x:v>
      </x:c>
      <x:c r="F27" s="20" t="n">
        <x:f>E27-'方案参数'!B8</x:f>
        <x:v>242000</x:v>
      </x:c>
    </x:row>
    <x:row r="28" ht="24" customHeight="1">
      <x:c r="A28" s="18" t="n">
        <x:v>46347</x:v>
      </x:c>
      <x:c r="B28" s="11" t="n">
        <x:f>E27</x:f>
        <x:v>292000</x:v>
      </x:c>
      <x:c r="C28" s="20" t="n">
        <x:f>SUMIFS('资金事项'!$F$6:$F$22,'资金事项'!$B$6:$B$22,A28)</x:f>
        <x:v>0</x:v>
      </x:c>
      <x:c r="D28" s="20" t="n">
        <x:f>SUMIFS('资金事项'!$E$6:$E$22,'资金事项'!$B$6:$B$22,A28)</x:f>
        <x:v>0</x:v>
      </x:c>
      <x:c r="E28" s="11" t="n">
        <x:f>B28+C28-D28</x:f>
        <x:v>292000</x:v>
      </x:c>
      <x:c r="F28" s="20" t="n">
        <x:f>E28-'方案参数'!B8</x:f>
        <x:v>242000</x:v>
      </x:c>
    </x:row>
    <x:row r="29" ht="24" customHeight="1">
      <x:c r="A29" s="18" t="n">
        <x:v>46348</x:v>
      </x:c>
      <x:c r="B29" s="11" t="n">
        <x:f>E28</x:f>
        <x:v>292000</x:v>
      </x:c>
      <x:c r="C29" s="20" t="n">
        <x:f>SUMIFS('资金事项'!$F$6:$F$22,'资金事项'!$B$6:$B$22,A29)</x:f>
        <x:v>0</x:v>
      </x:c>
      <x:c r="D29" s="20" t="n">
        <x:f>SUMIFS('资金事项'!$E$6:$E$22,'资金事项'!$B$6:$B$22,A29)</x:f>
        <x:v>0</x:v>
      </x:c>
      <x:c r="E29" s="11" t="n">
        <x:f>B29+C29-D29</x:f>
        <x:v>292000</x:v>
      </x:c>
      <x:c r="F29" s="20" t="n">
        <x:f>E29-'方案参数'!B8</x:f>
        <x:v>242000</x:v>
      </x:c>
    </x:row>
    <x:row r="30" ht="24" customHeight="1">
      <x:c r="A30" s="18" t="n">
        <x:v>46349</x:v>
      </x:c>
      <x:c r="B30" s="11" t="n">
        <x:f>E29</x:f>
        <x:v>292000</x:v>
      </x:c>
      <x:c r="C30" s="20" t="n">
        <x:f>SUMIFS('资金事项'!$F$6:$F$22,'资金事项'!$B$6:$B$22,A30)</x:f>
        <x:v>0</x:v>
      </x:c>
      <x:c r="D30" s="20" t="n">
        <x:f>SUMIFS('资金事项'!$E$6:$E$22,'资金事项'!$B$6:$B$22,A30)</x:f>
        <x:v>0</x:v>
      </x:c>
      <x:c r="E30" s="11" t="n">
        <x:f>B30+C30-D30</x:f>
        <x:v>292000</x:v>
      </x:c>
      <x:c r="F30" s="20" t="n">
        <x:f>E30-'方案参数'!B8</x:f>
        <x:v>242000</x:v>
      </x:c>
    </x:row>
    <x:row r="31" ht="24" customHeight="1">
      <x:c r="A31" s="18" t="n">
        <x:v>46350</x:v>
      </x:c>
      <x:c r="B31" s="11" t="n">
        <x:f>E30</x:f>
        <x:v>292000</x:v>
      </x:c>
      <x:c r="C31" s="20" t="n">
        <x:f>SUMIFS('资金事项'!$F$6:$F$22,'资金事项'!$B$6:$B$22,A31)</x:f>
        <x:v>0</x:v>
      </x:c>
      <x:c r="D31" s="20" t="n">
        <x:f>SUMIFS('资金事项'!$E$6:$E$22,'资金事项'!$B$6:$B$22,A31)</x:f>
        <x:v>0</x:v>
      </x:c>
      <x:c r="E31" s="11" t="n">
        <x:f>B31+C31-D31</x:f>
        <x:v>292000</x:v>
      </x:c>
      <x:c r="F31" s="20" t="n">
        <x:f>E31-'方案参数'!B8</x:f>
        <x:v>242000</x:v>
      </x:c>
    </x:row>
    <x:row r="32" ht="24" customHeight="1">
      <x:c r="A32" s="18" t="n">
        <x:v>46351</x:v>
      </x:c>
      <x:c r="B32" s="11" t="n">
        <x:f>E31</x:f>
        <x:v>292000</x:v>
      </x:c>
      <x:c r="C32" s="20" t="n">
        <x:f>SUMIFS('资金事项'!$F$6:$F$22,'资金事项'!$B$6:$B$22,A32)</x:f>
        <x:v>0</x:v>
      </x:c>
      <x:c r="D32" s="20" t="n">
        <x:f>SUMIFS('资金事项'!$E$6:$E$22,'资金事项'!$B$6:$B$22,A32)</x:f>
        <x:v>0</x:v>
      </x:c>
      <x:c r="E32" s="11" t="n">
        <x:f>B32+C32-D32</x:f>
        <x:v>292000</x:v>
      </x:c>
      <x:c r="F32" s="20" t="n">
        <x:f>E32-'方案参数'!B8</x:f>
        <x:v>242000</x:v>
      </x:c>
    </x:row>
    <x:row r="33" ht="24" customHeight="1">
      <x:c r="A33" s="18" t="n">
        <x:v>46352</x:v>
      </x:c>
      <x:c r="B33" s="11" t="n">
        <x:f>E32</x:f>
        <x:v>292000</x:v>
      </x:c>
      <x:c r="C33" s="20" t="n">
        <x:f>SUMIFS('资金事项'!$F$6:$F$22,'资金事项'!$B$6:$B$22,A33)</x:f>
        <x:v>0</x:v>
      </x:c>
      <x:c r="D33" s="20" t="n">
        <x:f>SUMIFS('资金事项'!$E$6:$E$22,'资金事项'!$B$6:$B$22,A33)</x:f>
        <x:v>0</x:v>
      </x:c>
      <x:c r="E33" s="11" t="n">
        <x:f>B33+C33-D33</x:f>
        <x:v>292000</x:v>
      </x:c>
      <x:c r="F33" s="20" t="n">
        <x:f>E33-'方案参数'!B8</x:f>
        <x:v>242000</x:v>
      </x:c>
    </x:row>
    <x:row r="34" ht="24" customHeight="1">
      <x:c r="A34" s="19" t="n">
        <x:v>46353</x:v>
      </x:c>
      <x:c r="B34" s="21" t="n">
        <x:f>E33</x:f>
        <x:v>292000</x:v>
      </x:c>
      <x:c r="C34" s="22" t="n">
        <x:f>SUMIFS('资金事项'!$F$6:$F$22,'资金事项'!$B$6:$B$22,A34)</x:f>
        <x:v>80000</x:v>
      </x:c>
      <x:c r="D34" s="22" t="n">
        <x:f>SUMIFS('资金事项'!$E$6:$E$22,'资金事项'!$B$6:$B$22,A34)</x:f>
        <x:v>0</x:v>
      </x:c>
      <x:c r="E34" s="21" t="n">
        <x:f>B34+C34-D34</x:f>
        <x:v>372000</x:v>
      </x:c>
      <x:c r="F34" s="22" t="n">
        <x:f>E34-'方案参数'!B8</x:f>
        <x:v>322000</x:v>
      </x:c>
    </x:row>
  </x:sheetData>
  <x:mergeCells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24" hidden="0" customWidth="1"/>
    <x:col min="5" max="5" width="50" hidden="0" customWidth="1"/>
    <x:col min="6" max="6" width="18" hidden="0" customWidth="1"/>
    <x:col min="7" max="7" width="32" hidden="0" customWidth="1"/>
    <x:col min="8" max="8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推荐分批迁移</x:v>
      </x:c>
      <x:c r="B2" s="2"/>
      <x:c r="C2" s="2"/>
      <x:c r="D2" s="2"/>
      <x:c r="E2" s="2"/>
      <x:c r="F2" s="2"/>
      <x:c r="G2" s="2"/>
      <x:c r="H2" s="2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9" t="str">
        <x:v>组</x:v>
      </x:c>
      <x:c r="B5" s="9" t="str">
        <x:v>涉及人数</x:v>
      </x:c>
      <x:c r="C5" s="9" t="str">
        <x:v>迁移日</x:v>
      </x:c>
      <x:c r="D5" s="9" t="str">
        <x:v>窗口</x:v>
      </x:c>
      <x:c r="E5" s="9" t="str">
        <x:v>席位</x:v>
      </x:c>
      <x:c r="F5" s="9" t="str">
        <x:v>搬运包</x:v>
      </x:c>
      <x:c r="G5" s="9" t="str">
        <x:v>执行责任</x:v>
      </x:c>
      <x:c r="H5" s="9" t="str">
        <x:v>准入与服务</x:v>
      </x:c>
    </x:row>
    <x:row r="6" ht="24" customHeight="1">
      <x:c r="A6" s="2" t="str">
        <x:v>G</x:v>
      </x:c>
      <x:c r="B6" s="2" t="n">
        <x:v>32</x:v>
      </x:c>
      <x:c r="C6" s="18" t="n">
        <x:v>46335</x:v>
      </x:c>
      <x:c r="D6" s="2" t="str">
        <x:v>20:00-22:00</x:v>
      </x:c>
      <x:c r="E6" s="2" t="str">
        <x:v>C通用32席中的16席</x:v>
      </x:c>
      <x:c r="F6" s="2" t="str">
        <x:v>MOVE-L</x:v>
      </x:c>
      <x:c r="G6" s="2" t="str">
        <x:v>运营王澜/现场赵衡</x:v>
      </x:c>
      <x:c r="H6" s="2" t="str">
        <x:v>次日08生产；确认G路径及现场验收</x:v>
      </x:c>
    </x:row>
    <x:row r="7" ht="24" customHeight="1">
      <x:c r="A7" s="2" t="str">
        <x:v>R</x:v>
      </x:c>
      <x:c r="B7" s="2" t="n">
        <x:v>32</x:v>
      </x:c>
      <x:c r="C7" s="18" t="n">
        <x:v>46338</x:v>
      </x:c>
      <x:c r="D7" s="2" t="str">
        <x:v>20:00-22:00</x:v>
      </x:c>
      <x:c r="E7" s="2" t="str">
        <x:v>C通用与G合用，总占用&lt;=32</x:v>
      </x:c>
      <x:c r="F7" s="2" t="str">
        <x:v>MOVE-L</x:v>
      </x:c>
      <x:c r="G7" s="2" t="str">
        <x:v>IT顾闻/现场赵衡</x:v>
      </x:c>
      <x:c r="H7" s="2" t="str">
        <x:v>次日08生产；同版补测双签后放行</x:v>
      </x:c>
    </x:row>
    <x:row r="8" ht="24" customHeight="1">
      <x:c r="A8" s="10" t="str">
        <x:v>K</x:v>
      </x:c>
      <x:c r="B8" s="10" t="n">
        <x:v>32</x:v>
      </x:c>
      <x:c r="C8" s="19" t="n">
        <x:v>46342</x:v>
      </x:c>
      <x:c r="D8" s="10" t="str">
        <x:v>20:00-22:00</x:v>
      </x:c>
      <x:c r="E8" s="10" t="str">
        <x:v>C隔离16席</x:v>
      </x:c>
      <x:c r="F8" s="10" t="str">
        <x:v>MOVE-L</x:v>
      </x:c>
      <x:c r="G8" s="10" t="str">
        <x:v>运营王澜/IT顾闻</x:v>
      </x:c>
      <x:c r="H8" s="10" t="str">
        <x:v>次日08生产；隔离与路径全部通过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52" hidden="0" customWidth="1"/>
    <x:col min="3" max="3" width="46" hidden="0" customWidth="1"/>
    <x:col min="4" max="4" width="110" hidden="0" customWidth="1"/>
    <x:col min="5" max="5" width="30" hidden="0" customWidth="1"/>
    <x:col min="6" max="6" width="24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切换条件及异常处置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9" t="str">
        <x:v>对象</x:v>
      </x:c>
      <x:c r="B5" s="9" t="str">
        <x:v>必要条件或触发</x:v>
      </x:c>
      <x:c r="C5" s="9" t="str">
        <x:v>证据现状</x:v>
      </x:c>
      <x:c r="D5" s="9" t="str">
        <x:v>执行动作</x:v>
      </x:c>
      <x:c r="E5" s="9" t="str">
        <x:v>责任</x:v>
      </x:c>
      <x:c r="F5" s="9" t="str">
        <x:v>期限</x:v>
      </x:c>
    </x:row>
    <x:row r="6" ht="65" customHeight="1">
      <x:c r="A6" s="4" t="str">
        <x:v>G</x:v>
      </x:c>
      <x:c r="B6" s="4" t="str">
        <x:v>R2.4/R7/C1030四路径</x:v>
      </x:c>
      <x:c r="C6" s="4" t="str">
        <x:v>REC-429/431及REL-G有效</x:v>
      </x:c>
      <x:c r="D6" s="4" t="str">
        <x:v>已有有效路径签认；现场仍待11/06验收</x:v>
      </x:c>
      <x:c r="E6" s="4" t="str">
        <x:v>王澜+顾闻</x:v>
      </x:c>
      <x:c r="F6" s="4" t="str">
        <x:v>各波执行前</x:v>
      </x:c>
    </x:row>
    <x:row r="7" ht="65" customHeight="1">
      <x:c r="A7" s="4" t="str">
        <x:v>R</x:v>
      </x:c>
      <x:c r="B7" s="4" t="str">
        <x:v>同版本功能录音权限回退</x:v>
      </x:c>
      <x:c r="C7" s="4" t="str">
        <x:v>REC-417录音失败；REC-418回退未完成</x:v>
      </x:c>
      <x:c r="D7" s="4" t="str">
        <x:v>11/10修复，11/11 18:00四路径补测；通过后双签</x:v>
      </x:c>
      <x:c r="E7" s="4" t="str">
        <x:v>顾闻</x:v>
      </x:c>
      <x:c r="F7" s="4" t="str">
        <x:v>11/12 19:30前</x:v>
      </x:c>
    </x:row>
    <x:row r="8" ht="65" customHeight="1">
      <x:c r="A8" s="4" t="str">
        <x:v>K</x:v>
      </x:c>
      <x:c r="B8" s="4" t="str">
        <x:v>16隔离席+路径签认</x:v>
      </x:c>
      <x:c r="C8" s="4" t="str">
        <x:v>REC-422未执行</x:v>
      </x:c>
      <x:c r="D8" s="4" t="str">
        <x:v>11/13 17:00场地；11/15 18:00完整链路/录音/权限/回退</x:v>
      </x:c>
      <x:c r="E8" s="4" t="str">
        <x:v>赵衡+顾闻</x:v>
      </x:c>
      <x:c r="F8" s="4" t="str">
        <x:v>11/16 19:30前</x:v>
      </x:c>
    </x:row>
    <x:row r="9" ht="65" customHeight="1">
      <x:c r="A9" s="4" t="str">
        <x:v>非阻断项</x:v>
      </x:c>
      <x:c r="B9" s="4" t="str">
        <x:v>报表列宽</x:v>
      </x:c>
      <x:c r="C9" s="4" t="str">
        <x:v>REC-409允许收尾</x:v>
      </x:c>
      <x:c r="D9" s="4" t="str">
        <x:v>11/23前修复，不替代关键路径结果</x:v>
      </x:c>
      <x:c r="E9" s="4" t="str">
        <x:v>顾闻</x:v>
      </x:c>
      <x:c r="F9" s="4" t="str">
        <x:v>11/23</x:v>
      </x:c>
    </x:row>
    <x:row r="10" ht="65" customHeight="1">
      <x:c r="A10" s="4" t="str">
        <x:v>暂停</x:v>
      </x:c>
      <x:c r="B10" s="4" t="str">
        <x:v>任一必要前提未满足</x:v>
      </x:c>
      <x:c r="C10" s="4" t="str">
        <x:v>OPS-CUT-4</x:v>
      </x:c>
      <x:c r="D10" s="4" t="str">
        <x:v>留旧址继续业务，重新预约，不将待确认写成已通过</x:v>
      </x:c>
      <x:c r="E10" s="4" t="str">
        <x:v>王澜</x:v>
      </x:c>
      <x:c r="F10" s="4" t="str">
        <x:v>每波决策点</x:v>
      </x:c>
    </x:row>
    <x:row r="11" ht="65" customHeight="1">
      <x:c r="A11" s="4" t="str">
        <x:v>回退</x:v>
      </x:c>
      <x:c r="B11" s="4" t="str">
        <x:v>两次15分钟无法接通或一次录音/权限严重错误</x:v>
      </x:c>
      <x:c r="C11" s="4" t="str">
        <x:v>OPS-CUT-4</x:v>
      </x:c>
      <x:c r="D11" s="4" t="str">
        <x:v>王澜启动；顾闻30分钟经独立备用链路回旧址镜像；同批业务人员不重复计数；FA01/FB01工程师维持旧址镜像；45分钟恢复，15分钟增量订单逐单对账</x:v>
      </x:c>
      <x:c r="E11" s="4" t="str">
        <x:v>王澜/顾闻/赵衡</x:v>
      </x:c>
      <x:c r="F11" s="4" t="str">
        <x:v>故障触发即执行</x:v>
      </x:c>
    </x:row>
    <x:row r="12" ht="65" customHeight="1">
      <x:c r="A12" s="4" t="str">
        <x:v>退址</x:v>
      </x:c>
      <x:c r="B12" s="4" t="str">
        <x:v>最后成功切换后3完整服务日</x:v>
      </x:c>
      <x:c r="C12" s="4" t="str">
        <x:v>SITE-A2 / NET-R2</x:v>
      </x:c>
      <x:c r="D12" s="4" t="str">
        <x:v>参考17/18/19观察，11/20 20:00交接；旧线与镜像此前不释放</x:v>
      </x:c>
      <x:c r="E12" s="4" t="str">
        <x:v>林芮</x:v>
      </x:c>
      <x:c r="F12" s="4" t="str">
        <x:v>11/20 20:00</x:v>
      </x:c>
    </x:row>
    <x:row r="13" ht="65" customHeight="1">
      <x:c r="A13" s="13" t="str">
        <x:v>延长</x:v>
      </x:c>
      <x:c r="B13" s="13" t="str">
        <x:v>11/17 12:00仍未实现K稳定启动</x:v>
      </x:c>
      <x:c r="C13" s="13" t="str">
        <x:v>SITE-A2 EXT-27</x:v>
      </x:c>
      <x:c r="D13" s="13" t="str">
        <x:v>17日16:00前启用11/21-27场地+网络选项并付24000；11/27后另行决策</x:v>
      </x:c>
      <x:c r="E13" s="13" t="str">
        <x:v>林芮+沈蓉</x:v>
      </x:c>
      <x:c r="F13" s="13" t="str">
        <x:v>11/17 16:00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BD5E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60" hidden="0" customWidth="1"/>
    <x:col min="3" max="3" width="64" hidden="0" customWidth="1"/>
    <x:col min="4" max="4" width="90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关键计算依据</x:v>
      </x:c>
      <x:c r="B2" s="2"/>
      <x:c r="C2" s="2"/>
      <x:c r="D2" s="2"/>
    </x:row>
    <x:row r="3">
      <x:c r="A3" s="2"/>
      <x:c r="B3" s="2"/>
      <x:c r="C3" s="2"/>
      <x:c r="D3" s="2"/>
    </x:row>
    <x:row r="4">
      <x:c r="A4" s="2"/>
      <x:c r="B4" s="2"/>
      <x:c r="C4" s="2"/>
      <x:c r="D4" s="2"/>
    </x:row>
    <x:row r="5" ht="34" customHeight="1">
      <x:c r="A5" s="9" t="str">
        <x:v>主题</x:v>
      </x:c>
      <x:c r="B5" s="9" t="str">
        <x:v>文件</x:v>
      </x:c>
      <x:c r="C5" s="9" t="str">
        <x:v>定位</x:v>
      </x:c>
      <x:c r="D5" s="9" t="str">
        <x:v>采用方法</x:v>
      </x:c>
    </x:row>
    <x:row r="6" ht="48" customHeight="1">
      <x:c r="A6" s="4" t="str">
        <x:v>服务数量与口径</x:v>
      </x:c>
      <x:c r="B6" s="4" t="str">
        <x:v>05_service_demand.xlsx</x:v>
      </x:c>
      <x:c r="C6" s="4" t="str">
        <x:v>预测明细+队列字典，D261030</x:v>
      </x:c>
      <x:c r="D6" s="4" t="str">
        <x:v>每站/队列件数×AHT，再合计同lane，两站不当重复记录</x:v>
      </x:c>
    </x:row>
    <x:row r="7" ht="48" customHeight="1">
      <x:c r="A7" s="4" t="str">
        <x:v>可用人员</x:v>
      </x:c>
      <x:c r="B7" s="4" t="str">
        <x:v>06_people_roster.xlsx</x:v>
      </x:c>
      <x:c r="C7" s="4" t="str">
        <x:v>班组人员+请假流水 LV-R08/EV103</x:v>
      </x:c>
      <x:c r="D7" s="4" t="str">
        <x:v>R AM15；已撤销K05假不再扣；培训与生产互斥</x:v>
      </x:c>
    </x:row>
    <x:row r="8" ht="48" customHeight="1">
      <x:c r="A8" s="4" t="str">
        <x:v>训练与支援</x:v>
      </x:c>
      <x:c r="B8" s="4" t="str">
        <x:v>06/07/11 XLSX及TRN-26</x:v>
      </x:c>
      <x:c r="C8" s="4" t="str">
        <x:v>课程登记、场地预约、Q-R1</x:v>
      </x:c>
      <x:c r="D8" s="4" t="str">
        <x:v>四学员两带教；R AM另补1</x:v>
      </x:c>
    </x:row>
    <x:row r="9" ht="48" customHeight="1">
      <x:c r="A9" s="4" t="str">
        <x:v>成本与现金</x:v>
      </x:c>
      <x:c r="B9" s="4" t="str">
        <x:v>08_finance_ledger.xlsx+04合同</x:v>
      </x:c>
      <x:c r="C9" s="4" t="str">
        <x:v>付款安排P01-P17、EQUIP-S1/D1</x:v>
      </x:c>
      <x:c r="D9" s="4" t="str">
        <x:v>含税、历史已付、押金、拨款分别计量</x:v>
      </x:c>
    </x:row>
    <x:row r="10" ht="48" customHeight="1">
      <x:c r="A10" s="4" t="str">
        <x:v>放行与回退</x:v>
      </x:c>
      <x:c r="B10" s="4" t="str">
        <x:v>09 PDF+10 XLSX+12 PDF</x:v>
      </x:c>
      <x:c r="C10" s="4" t="str">
        <x:v>REC-417/422/431、SVC-A2、OPS-CUT-4</x:v>
      </x:c>
      <x:c r="D10" s="4" t="str">
        <x:v>未来预约不作已通过；只隔离受影响lane</x:v>
      </x:c>
    </x:row>
    <x:row r="11" ht="48" customHeight="1">
      <x:c r="A11" s="13" t="str">
        <x:v>资源保留与退押</x:v>
      </x:c>
      <x:c r="B11" s="13" t="str">
        <x:v>04_site_vendor_contracts.pdf</x:v>
      </x:c>
      <x:c r="C11" s="13" t="str">
        <x:v>SITE-A2 / NET-R2 / EXT-27</x:v>
      </x:c>
      <x:c r="D11" s="13" t="str">
        <x:v>最终三完整服务日+20日交接窗口；5工作日退押</x:v>
      </x:c>
    </x:row>
  </x:sheetData>
  <x:pageMargins left="0.7" right="0.7" top="0.75" bottom="0.75" header="0.3" footer="0.3"/>
</x:worksheet>
</file>