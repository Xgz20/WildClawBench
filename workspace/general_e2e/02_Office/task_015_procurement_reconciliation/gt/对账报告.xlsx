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a8ce5ad58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10f213070c6c4919"/>
    <x:sheet xmlns:r="http://schemas.openxmlformats.org/officeDocument/2006/relationships" name="数量差异" sheetId="2" r:id="R7a3b6489916d4b15"/>
    <x:sheet xmlns:r="http://schemas.openxmlformats.org/officeDocument/2006/relationships" name="金额差异" sheetId="3" r:id="R16c3b10229974d52"/>
    <x:sheet xmlns:r="http://schemas.openxmlformats.org/officeDocument/2006/relationships" name="未入库订单" sheetId="4" r:id="R30bcb58389574de1"/>
    <x:sheet xmlns:r="http://schemas.openxmlformats.org/officeDocument/2006/relationships" name="无对应订单入库" sheetId="5" r:id="R0e20a871329f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"/>
    <x:numFmt numFmtId="201" formatCode="#,##0.00;[Red](#,##0.00)"/>
    <x:numFmt numFmtId="202" formatCode="#,##0"/>
    <x:numFmt numFmtId="203" formatCode="#,##0.00"/>
  </x:numFmts>
  <x:fonts count="6">
    <x:font>
      <x:sz val="11"/>
      <x:name val="Carlito"/>
    </x:font>
    <x:font>
      <x:sz val="10"/>
      <x:color rgb="FF243746"/>
      <x:name val="Microsoft YaHei"/>
    </x:font>
    <x:font>
      <x:b/>
      <x:sz val="15"/>
      <x:color rgb="FF243746"/>
      <x:name val="Microsoft YaHei"/>
    </x:font>
    <x:font>
      <x:b/>
      <x:sz val="10"/>
      <x:color rgb="FFFFFFFF"/>
      <x:name val="Microsoft YaHei"/>
    </x:font>
    <x:font>
      <x:i/>
      <x:sz val="10"/>
      <x:color rgb="FF526575"/>
      <x:name val="Microsoft YaHei"/>
    </x:font>
    <x:font>
      <x:b/>
      <x:sz val="11"/>
      <x:color rgb="FF24374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34E68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DF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5531B"/>
      </x:font>
      <x:fill>
        <x:patternFill patternType="solid">
          <x:bgColor rgb="FFFFF2D8"/>
        </x:patternFill>
      </x:fill>
    </x:dxf>
    <x:dxf>
      <x:font>
        <x:b/>
        <x:color rgb="FF75531B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539102a614cc9" /><Relationship Type="http://schemas.openxmlformats.org/officeDocument/2006/relationships/theme" Target="/xl/theme/theme1.xml" Id="Raa48bd4dc6fc460a" /><Relationship Type="http://schemas.openxmlformats.org/officeDocument/2006/relationships/sharedStrings" Target="/xl/sharedStrings.xml" Id="Ra3104dc2aa5d4026" /><Relationship Type="http://schemas.openxmlformats.org/officeDocument/2006/relationships/worksheet" Target="/xl/worksheets/sheet1.xml" Id="R10f213070c6c4919" /><Relationship Type="http://schemas.openxmlformats.org/officeDocument/2006/relationships/worksheet" Target="/xl/worksheets/sheet2.xml" Id="R7a3b6489916d4b15" /><Relationship Type="http://schemas.openxmlformats.org/officeDocument/2006/relationships/worksheet" Target="/xl/worksheets/sheet3.xml" Id="R16c3b10229974d52" /><Relationship Type="http://schemas.openxmlformats.org/officeDocument/2006/relationships/worksheet" Target="/xl/worksheets/sheet4.xml" Id="R30bcb58389574de1" /><Relationship Type="http://schemas.openxmlformats.org/officeDocument/2006/relationships/worksheet" Target="/xl/worksheets/sheet5.xml" Id="R0e20a871329f4afc" /></Relationships>
</file>

<file path=xl/tables/table1.xml><?xml version="1.0" encoding="utf-8"?>
<x:table xmlns:x="http://schemas.openxmlformats.org/spreadsheetml/2006/main" id="1" name="QuantityDifferences" displayName="QuantityDifferences" ref="A5:I20" headerRowCount="1" totalsRowCount="0" totalsRowShown="0">
  <x:tableColumns count="9">
    <x:tableColumn id="1" name="订单号"/>
    <x:tableColumn id="2" name="入库单号"/>
    <x:tableColumn id="3" name="订单数量"/>
    <x:tableColumn id="4" name="入库数量"/>
    <x:tableColumn id="5" name="差异数量"/>
    <x:tableColumn id="6" name="供应商"/>
    <x:tableColumn id="7" name="商品"/>
    <x:tableColumn id="8" name="源文件行号"/>
    <x:tableColumn id="9" name="同时有金额差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ountDifferences" displayName="AmountDifferences" ref="A5:J30" headerRowCount="1" totalsRowCount="0" totalsRowShown="0">
  <x:tableColumns count="10">
    <x:tableColumn id="1" name="订单号"/>
    <x:tableColumn id="2" name="入库单号"/>
    <x:tableColumn id="3" name="订单金额"/>
    <x:tableColumn id="4" name="入库金额"/>
    <x:tableColumn id="5" name="差异金额"/>
    <x:tableColumn id="6" name="供应商"/>
    <x:tableColumn id="7" name="商品"/>
    <x:tableColumn id="8" name="源文件行号"/>
    <x:tableColumn id="9" name="订单数量"/>
    <x:tableColumn id="10" name="入库数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WithoutReceipt" displayName="OrdersWithoutReceipt" ref="A5:G25" headerRowCount="1" totalsRowCount="0" totalsRowShown="0">
  <x:tableColumns count="7">
    <x:tableColumn id="1" name="订单号"/>
    <x:tableColumn id="2" name="供应商"/>
    <x:tableColumn id="3" name="商品"/>
    <x:tableColumn id="4" name="订单数量"/>
    <x:tableColumn id="5" name="订单金额"/>
    <x:tableColumn id="6" name="来源位置"/>
    <x:tableColumn id="7" name="核对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eiptsWithoutOrder" displayName="ReceiptsWithoutOrder" ref="A5:G10" headerRowCount="1" totalsRowCount="0" totalsRowShown="0">
  <x:tableColumns count="7">
    <x:tableColumn id="1" name="入库单号"/>
    <x:tableColumn id="2" name="供应商"/>
    <x:tableColumn id="3" name="商品"/>
    <x:tableColumn id="4" name="入库数量"/>
    <x:tableColumn id="5" name="入库金额"/>
    <x:tableColumn id="6" name="来源位置"/>
    <x:tableColumn id="7" name="核对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297c9ece2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609b7b0a8e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07e3c4a7fd48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2c4772f585414e" /></Relationships>
</file>

<file path=xl/worksheets/sheet1.xml><?xml version="1.0" encoding="utf-8"?>
<x:worksheet xmlns:x="http://schemas.openxmlformats.org/spreadsheetml/2006/main">
  <x:sheetPr>
    <x:tabColor rgb="FF334E68"/>
  </x:sheetPr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69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采购订单与入库核对</x:v>
      </x:c>
      <x:c r="B2" s="2"/>
      <x:c r="C2" s="2"/>
    </x:row>
    <x:row r="3" ht="25" customHeight="1">
      <x:c r="A3" s="4"/>
      <x:c r="B3" s="4"/>
      <x:c r="C3" s="4"/>
    </x:row>
    <x:row r="4" ht="25" customHeight="1">
      <x:c r="A4" s="2" t="str">
        <x:v>范围：采购订单.csv 与入库记录.csv 的全部数据，不按订单状态或日期另行筛选。</x:v>
      </x:c>
      <x:c r="B4" s="2"/>
      <x:c r="C4" s="2"/>
    </x:row>
    <x:row r="5" ht="30" customHeight="1">
      <x:c r="A5" s="7" t="str">
        <x:v>指标</x:v>
      </x:c>
      <x:c r="B5" s="7" t="str">
        <x:v>数值</x:v>
      </x:c>
      <x:c r="C5" s="7" t="str">
        <x:v>统计口径</x:v>
      </x:c>
    </x:row>
    <x:row r="6" ht="25" customHeight="1">
      <x:c r="A6" s="2" t="str">
        <x:v>总采购订单数</x:v>
      </x:c>
      <x:c r="B6" s="14" t="n">
        <x:v>300</x:v>
      </x:c>
      <x:c r="C6" s="2" t="str">
        <x:v>采购订单号去重计数</x:v>
      </x:c>
    </x:row>
    <x:row r="7" ht="25" customHeight="1">
      <x:c r="A7" s="2" t="str">
        <x:v>总入库单数</x:v>
      </x:c>
      <x:c r="B7" s="14" t="n">
        <x:v>285</x:v>
      </x:c>
      <x:c r="C7" s="2" t="str">
        <x:v>入库单号去重计数</x:v>
      </x:c>
    </x:row>
    <x:row r="8" ht="25" customHeight="1">
      <x:c r="A8" s="2" t="str">
        <x:v>数量差异订单数</x:v>
      </x:c>
      <x:c r="B8" s="14" t="n">
        <x:f>COUNTA('数量差异'!A6:A20)</x:f>
        <x:v>15</x:v>
      </x:c>
      <x:c r="C8" s="2" t="str">
        <x:v>订单与匹配入库的数量不一致</x:v>
      </x:c>
    </x:row>
    <x:row r="9" ht="25" customHeight="1">
      <x:c r="A9" s="2" t="str">
        <x:v>金额差异订单数</x:v>
      </x:c>
      <x:c r="B9" s="14" t="n">
        <x:f>COUNTA('金额差异'!A6:A30)</x:f>
        <x:v>25</x:v>
      </x:c>
      <x:c r="C9" s="2" t="str">
        <x:v>订单与匹配入库的金额差绝对值大于0.01元</x:v>
      </x:c>
    </x:row>
    <x:row r="10" ht="25" customHeight="1">
      <x:c r="A10" s="2" t="str">
        <x:v>未入库订单数</x:v>
      </x:c>
      <x:c r="B10" s="14" t="n">
        <x:f>COUNTA('未入库订单'!A6:A25)</x:f>
        <x:v>20</x:v>
      </x:c>
      <x:c r="C10" s="2" t="str">
        <x:v>本批未找到对应入库的订单</x:v>
      </x:c>
    </x:row>
    <x:row r="11" ht="25" customHeight="1">
      <x:c r="A11" s="2" t="str">
        <x:v>无对应订单入库单数</x:v>
      </x:c>
      <x:c r="B11" s="14" t="n">
        <x:f>COUNTA('无对应订单入库'!A6:A10)</x:f>
        <x:v>5</x:v>
      </x:c>
      <x:c r="C11" s="2" t="str">
        <x:v>本批未找到对应订单的入库单</x:v>
      </x:c>
    </x:row>
    <x:row r="12" ht="25" customHeight="1">
      <x:c r="A12" s="2" t="str">
        <x:v>数量及金额均有差异订单数</x:v>
      </x:c>
      <x:c r="B12" s="14" t="n">
        <x:f>COUNTIFS('数量差异'!I6:I20,"是")</x:f>
        <x:v>15</x:v>
      </x:c>
      <x:c r="C12" s="2" t="str">
        <x:v>同时出现在两类差异中的订单</x:v>
      </x:c>
    </x:row>
    <x:row r="13" ht="25" customHeight="1">
      <x:c r="A13" s="2" t="str">
        <x:v>异常订单去重数</x:v>
      </x:c>
      <x:c r="B13" s="14" t="n">
        <x:f>B8+B9-B12+B10</x:f>
        <x:v>45</x:v>
      </x:c>
      <x:c r="C13" s="2" t="str">
        <x:v>数量或金额差异订单与未入库订单的并集</x:v>
      </x:c>
    </x:row>
    <x:row r="14" ht="25" customHeight="1">
      <x:c r="A14" s="2" t="str">
        <x:v>匹配且数量金额均一致订单数</x:v>
      </x:c>
      <x:c r="B14" s="14" t="n">
        <x:f>B6-B13</x:f>
        <x:v>255</x:v>
      </x:c>
      <x:c r="C14" s="2" t="str">
        <x:v>已匹配且两项均无差异的订单</x:v>
      </x:c>
    </x:row>
    <x:row r="15" ht="25" customHeight="1">
      <x:c r="A15" s="2"/>
      <x:c r="B15" s="2"/>
      <x:c r="C15" s="2"/>
    </x:row>
    <x:row r="16" ht="25" customHeight="1">
      <x:c r="A16" s="2"/>
      <x:c r="B16" s="2"/>
      <x:c r="C16" s="2"/>
    </x:row>
    <x:row r="17" ht="25" customHeight="1">
      <x:c r="A17" s="15" t="str">
        <x:v>核对说明</x:v>
      </x:c>
      <x:c r="B17" s="2"/>
      <x:c r="C17" s="2"/>
    </x:row>
    <x:row r="18" ht="25" customHeight="1">
      <x:c r="A18" s="2" t="str">
        <x:v>两份记录按订单号关联，入库单号末尾批次段用于定位具体入库记录。</x:v>
      </x:c>
      <x:c r="B18" s="2"/>
      <x:c r="C18" s="2"/>
    </x:row>
    <x:row r="19" ht="25" customHeight="1">
      <x:c r="A19" s="2" t="str">
        <x:v>数量和金额独立核对；同一订单可以同时列入两张差异表，分类计数不可直接相加作异常订单总数。</x:v>
      </x:c>
      <x:c r="B19" s="2"/>
      <x:c r="C19" s="2"/>
    </x:row>
    <x:row r="20" ht="25" customHeight="1">
      <x:c r="A20" s="2" t="str">
        <x:v>未匹配订单单列，不作为已有入库的数量或金额差异；无对应订单的入库按入库单计数。</x:v>
      </x:c>
      <x:c r="B20" s="2"/>
      <x:c r="C20" s="2"/>
    </x:row>
    <x:row r="21" ht="25" customHeight="1">
      <x:c r="A21" s="2" t="str">
        <x:v>差额统一采用入库减订单。数量正数表示多入、负数表示少入；金额正数表示入库金额高于订单。</x:v>
      </x:c>
      <x:c r="B21" s="2"/>
      <x:c r="C21" s="2"/>
    </x:row>
    <x:row r="22" ht="25" customHeight="1">
      <x:c r="A22" s="2" t="str">
        <x:v>金额使用两份记录的已记载金额，绝对差额不超过0.01元视为一致。</x:v>
      </x:c>
      <x:c r="B22" s="2"/>
      <x:c r="C22" s="2"/>
    </x:row>
    <x:row r="23" ht="25" customHeight="1">
      <x:c r="A23" s="2" t="str">
        <x:v>“未入库”仅表示本批记录未匹配，不能据此确认实物未收货；无对应订单不等于认定违规采购。</x:v>
      </x:c>
      <x:c r="B23" s="2"/>
      <x:c r="C23" s="2"/>
    </x:row>
    <x:row r="24" ht="25" customHeight="1">
      <x:c r="A24" s="2" t="str">
        <x:v>现有资料可证明差异和匹配缺口，不能单凭这些数据确定错录、补单、退货等具体原因。</x:v>
      </x:c>
      <x:c r="B24" s="2"/>
      <x:c r="C24" s="2"/>
    </x:row>
    <x:row r="25" ht="25" customHeight="1">
      <x:c r="A25" s="2" t="str">
        <x:v>明细的“源文件行号”对应两份CSV文件的物理行号，首行表头记为第1行。</x:v>
      </x:c>
      <x:c r="B25" s="2"/>
      <x:c r="C25" s="2"/>
    </x:row>
    <x:row r="26" ht="25" customHeight="1">
      <x:c r="A26" s="2"/>
      <x:c r="B26" s="2"/>
      <x:c r="C26" s="2"/>
    </x:row>
    <x:row r="27" ht="30" customHeight="1">
      <x:c r="A27" s="7" t="str">
        <x:v>金额核对（元）</x:v>
      </x:c>
      <x:c r="B27" s="7" t="str">
        <x:v>数值</x:v>
      </x:c>
      <x:c r="C27" s="7" t="str">
        <x:v>范围及关系</x:v>
      </x:c>
    </x:row>
    <x:row r="28" ht="25" customHeight="1">
      <x:c r="A28" s="2" t="str">
        <x:v>订单金额合计</x:v>
      </x:c>
      <x:c r="B28" s="16" t="n">
        <x:v>4274127.26</x:v>
      </x:c>
      <x:c r="C28" s="2" t="str">
        <x:v>采购订单.csv 的全量记载金额</x:v>
      </x:c>
    </x:row>
    <x:row r="29" ht="25" customHeight="1">
      <x:c r="A29" s="2" t="str">
        <x:v>入库金额合计</x:v>
      </x:c>
      <x:c r="B29" s="16" t="n">
        <x:v>4051403.52</x:v>
      </x:c>
      <x:c r="C29" s="2" t="str">
        <x:v>入库记录.csv 的全量记载金额</x:v>
      </x:c>
    </x:row>
    <x:row r="30" ht="25" customHeight="1">
      <x:c r="A30" s="2" t="str">
        <x:v>匹配订单金额合计</x:v>
      </x:c>
      <x:c r="B30" s="16" t="n">
        <x:f>B28-B33</x:f>
        <x:v>3991701.9999999995</x:v>
      </x:c>
      <x:c r="C30" s="2" t="str">
        <x:v>全量订单金额扣除未匹配订单金额</x:v>
      </x:c>
    </x:row>
    <x:row r="31" ht="25" customHeight="1">
      <x:c r="A31" s="2" t="str">
        <x:v>匹配入库金额合计</x:v>
      </x:c>
      <x:c r="B31" s="16" t="n">
        <x:f>B29-B34</x:f>
        <x:v>3990352.87</x:v>
      </x:c>
      <x:c r="C31" s="2" t="str">
        <x:v>全量入库金额扣除无对应订单入库金额</x:v>
      </x:c>
    </x:row>
    <x:row r="32" ht="25" customHeight="1">
      <x:c r="A32" s="2" t="str">
        <x:v>金额差异净额合计</x:v>
      </x:c>
      <x:c r="B32" s="16" t="n">
        <x:f>SUM('金额差异'!E6:E30)</x:f>
        <x:v>-1349.1300000000003</x:v>
      </x:c>
      <x:c r="C32" s="2" t="str">
        <x:v>金额差异表的入库减订单差额合计，可能正负抵销</x:v>
      </x:c>
    </x:row>
    <x:row r="33" ht="25" customHeight="1">
      <x:c r="A33" s="2" t="str">
        <x:v>未入库订单金额合计</x:v>
      </x:c>
      <x:c r="B33" s="16" t="n">
        <x:f>SUM('未入库订单'!E6:E25)</x:f>
        <x:v>282425.26000000007</x:v>
      </x:c>
      <x:c r="C33" s="2" t="str">
        <x:v>未入库订单表中存在的订单金额合计</x:v>
      </x:c>
    </x:row>
    <x:row r="34" ht="25" customHeight="1">
      <x:c r="A34" s="2" t="str">
        <x:v>无对应订单入库金额合计</x:v>
      </x:c>
      <x:c r="B34" s="16" t="n">
        <x:f>SUM('无对应订单入库'!E6:E10)</x:f>
        <x:v>61050.65</x:v>
      </x:c>
      <x:c r="C34" s="2" t="str">
        <x:v>无对应订单入库表中存在的入库金额合计</x:v>
      </x:c>
    </x:row>
    <x:row r="35" ht="25" customHeight="1">
      <x:c r="A35" s="2" t="str">
        <x:v>匹配差额合计</x:v>
      </x:c>
      <x:c r="B35" s="16" t="n">
        <x:f>ROUND(B31-B30,2)</x:f>
        <x:v>-1349.13</x:v>
      </x:c>
      <x:c r="C35" s="2" t="str">
        <x:v>匹配入库金额减匹配订单金额，与金额差异净额核对</x:v>
      </x:c>
    </x:row>
    <x:row r="36" ht="25" customHeight="1">
      <x:c r="A36" s="2" t="str">
        <x:v>匹配订单数</x:v>
      </x:c>
      <x:c r="B36" s="14" t="n">
        <x:v>280</x:v>
      </x:c>
      <x:c r="C36" s="2" t="str">
        <x:v>采购订单号在两份记录中均存在</x:v>
      </x:c>
    </x:row>
    <x:row r="37" ht="25" customHeight="1">
      <x:c r="A37" s="2"/>
      <x:c r="B37" s="2"/>
      <x:c r="C37" s="2"/>
    </x:row>
    <x:row r="38" ht="30" customHeight="1">
      <x:c r="A38" s="7" t="str">
        <x:v>复核对象</x:v>
      </x:c>
      <x:c r="B38" s="7" t="str">
        <x:v>优先依据</x:v>
      </x:c>
      <x:c r="C38" s="7" t="str">
        <x:v>需核查的凭据与处理前提</x:v>
      </x:c>
    </x:row>
    <x:row r="39" ht="55" customHeight="1">
      <x:c r="A39" s="2" t="str">
        <x:v>无对应订单入库</x:v>
      </x:c>
      <x:c r="B39" s="2" t="str">
        <x:v>优先查关联缺口</x:v>
      </x:c>
      <x:c r="C39" s="18" t="str">
        <x:v>采购核验原始采购订单、审批及编号映射；仓库核验收货凭证。确认订单确有缺录或单号错误后再补录或纠正，不能仅凭未匹配认定违规。</x:v>
      </x:c>
    </x:row>
    <x:row r="40" ht="55" customHeight="1">
      <x:c r="A40" s="2" t="str">
        <x:v>未入库订单</x:v>
      </x:c>
      <x:c r="B40" s="2" t="str">
        <x:v>金额与状态</x:v>
      </x:c>
      <x:c r="C40" s="18" t="str">
        <x:v>先核对金额较大及源订单状态为已完成、已发货的记录。采购查订单和发运凭证；仓库查签收单与入库台账，区分在途、实收未登记及其他待核状态。</x:v>
      </x:c>
    </x:row>
    <x:row r="41" ht="55" customHeight="1">
      <x:c r="A41" s="2" t="str">
        <x:v>数量差异</x:v>
      </x:c>
      <x:c r="B41" s="2" t="str">
        <x:v>差异幅度</x:v>
      </x:c>
      <x:c r="C41" s="18" t="str">
        <x:v>先核对绝对差异或相对差异较大的订单。仓库按单号比对实收签收单、分批到货及退货凭证；确认实收数量和登记范围后再更正，不能据表间差异认定实物损失。</x:v>
      </x:c>
    </x:row>
    <x:row r="42" ht="55" customHeight="1">
      <x:c r="A42" s="2" t="str">
        <x:v>金额差异</x:v>
      </x:c>
      <x:c r="B42" s="2" t="str">
        <x:v>差额绝对值</x:v>
      </x:c>
      <x:c r="C42" s="18" t="str">
        <x:v>优先核对PO-2026-16273等绝对金额差较大的记录。采购对照订单计价条款、价格变更审批和入库计价凭证。数量一致时仅能推导折算单价不同，真实原因仍需凭据确认。</x:v>
      </x:c>
    </x:row>
    <x:row r="43" ht="25" customHeight="1">
      <x:c r="A43" s="2"/>
      <x:c r="B43" s="2"/>
      <x:c r="C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9" hidden="0" customWidth="1"/>
    <x:col min="8" max="8" width="37" hidden="0" customWidth="1"/>
    <x:col min="9" max="9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数量差异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9" t="str">
        <x:v>差额为入库减订单：正数多入，负数少入。</x:v>
      </x:c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7" t="str">
        <x:v>订单号</x:v>
      </x:c>
      <x:c r="B5" s="7" t="str">
        <x:v>入库单号</x:v>
      </x:c>
      <x:c r="C5" s="7" t="str">
        <x:v>订单数量</x:v>
      </x:c>
      <x:c r="D5" s="7" t="str">
        <x:v>入库数量</x:v>
      </x:c>
      <x:c r="E5" s="7" t="str">
        <x:v>差异数量</x:v>
      </x:c>
      <x:c r="F5" s="7" t="str">
        <x:v>供应商</x:v>
      </x:c>
      <x:c r="G5" s="7" t="str">
        <x:v>商品</x:v>
      </x:c>
      <x:c r="H5" s="7" t="str">
        <x:v>源文件行号</x:v>
      </x:c>
      <x:c r="I5" s="7" t="str">
        <x:v>同时有金额差异</x:v>
      </x:c>
    </x:row>
    <x:row r="6" ht="25" customHeight="1">
      <x:c r="A6" s="8" t="str">
        <x:v>PO-2026-10607</x:v>
      </x:c>
      <x:c r="B6" s="8" t="str">
        <x:v>PO-2026-10607-01</x:v>
      </x:c>
      <x:c r="C6" s="10" t="n">
        <x:v>344</x:v>
      </x:c>
      <x:c r="D6" s="10" t="n">
        <x:v>362</x:v>
      </x:c>
      <x:c r="E6" s="10" t="n">
        <x:f>ROUND(D6-C6,0)</x:f>
        <x:v>18</x:v>
      </x:c>
      <x:c r="F6" s="8" t="str">
        <x:v>东方精密零件</x:v>
      </x:c>
      <x:c r="G6" s="8" t="str">
        <x:v>液压油缸</x:v>
      </x:c>
      <x:c r="H6" s="8" t="str">
        <x:v>订单第107行；入库第212行</x:v>
      </x:c>
      <x:c r="I6" s="8" t="str">
        <x:f>IF(COUNTIFS('金额差异'!$A$6:$A$30,A6)&gt;0,"是","否")</x:f>
        <x:v>是</x:v>
      </x:c>
    </x:row>
    <x:row r="7" ht="25" customHeight="1">
      <x:c r="A7" s="8" t="str">
        <x:v>PO-2026-11619</x:v>
      </x:c>
      <x:c r="B7" s="8" t="str">
        <x:v>PO-2026-11619-01</x:v>
      </x:c>
      <x:c r="C7" s="10" t="n">
        <x:v>76</x:v>
      </x:c>
      <x:c r="D7" s="10" t="n">
        <x:v>70</x:v>
      </x:c>
      <x:c r="E7" s="10" t="n">
        <x:f>ROUND(D7-C7,0)</x:f>
        <x:v>-6</x:v>
      </x:c>
      <x:c r="F7" s="8" t="str">
        <x:v>东方精密零件</x:v>
      </x:c>
      <x:c r="G7" s="8" t="str">
        <x:v>减速机</x:v>
      </x:c>
      <x:c r="H7" s="8" t="str">
        <x:v>订单第296行；入库第216行</x:v>
      </x:c>
      <x:c r="I7" s="8" t="str">
        <x:f>IF(COUNTIFS('金额差异'!$A$6:$A$30,A7)&gt;0,"是","否")</x:f>
        <x:v>是</x:v>
      </x:c>
    </x:row>
    <x:row r="8" ht="25" customHeight="1">
      <x:c r="A8" s="8" t="str">
        <x:v>PO-2026-14490</x:v>
      </x:c>
      <x:c r="B8" s="8" t="str">
        <x:v>PO-2026-14490-01</x:v>
      </x:c>
      <x:c r="C8" s="10" t="n">
        <x:v>367</x:v>
      </x:c>
      <x:c r="D8" s="10" t="n">
        <x:v>394</x:v>
      </x:c>
      <x:c r="E8" s="10" t="n">
        <x:f>ROUND(D8-C8,0)</x:f>
        <x:v>27</x:v>
      </x:c>
      <x:c r="F8" s="8" t="str">
        <x:v>东方精密零件</x:v>
      </x:c>
      <x:c r="G8" s="8" t="str">
        <x:v>不锈钢法兰</x:v>
      </x:c>
      <x:c r="H8" s="8" t="str">
        <x:v>订单第6行；入库第156行</x:v>
      </x:c>
      <x:c r="I8" s="8" t="str">
        <x:f>IF(COUNTIFS('金额差异'!$A$6:$A$30,A8)&gt;0,"是","否")</x:f>
        <x:v>是</x:v>
      </x:c>
    </x:row>
    <x:row r="9" ht="25" customHeight="1">
      <x:c r="A9" s="8" t="str">
        <x:v>PO-2026-14964</x:v>
      </x:c>
      <x:c r="B9" s="8" t="str">
        <x:v>PO-2026-14964-01</x:v>
      </x:c>
      <x:c r="C9" s="10" t="n">
        <x:v>436</x:v>
      </x:c>
      <x:c r="D9" s="10" t="n">
        <x:v>418</x:v>
      </x:c>
      <x:c r="E9" s="10" t="n">
        <x:f>ROUND(D9-C9,0)</x:f>
        <x:v>-18</x:v>
      </x:c>
      <x:c r="F9" s="8" t="str">
        <x:v>中科新材料</x:v>
      </x:c>
      <x:c r="G9" s="8" t="str">
        <x:v>线缆护套</x:v>
      </x:c>
      <x:c r="H9" s="8" t="str">
        <x:v>订单第114行；入库第80行</x:v>
      </x:c>
      <x:c r="I9" s="8" t="str">
        <x:f>IF(COUNTIFS('金额差异'!$A$6:$A$30,A9)&gt;0,"是","否")</x:f>
        <x:v>是</x:v>
      </x:c>
    </x:row>
    <x:row r="10" ht="25" customHeight="1">
      <x:c r="A10" s="8" t="str">
        <x:v>PO-2026-16273</x:v>
      </x:c>
      <x:c r="B10" s="8" t="str">
        <x:v>PO-2026-16273-01</x:v>
      </x:c>
      <x:c r="C10" s="10" t="n">
        <x:v>85</x:v>
      </x:c>
      <x:c r="D10" s="10" t="n">
        <x:v>58</x:v>
      </x:c>
      <x:c r="E10" s="10" t="n">
        <x:f>ROUND(D10-C10,0)</x:f>
        <x:v>-27</x:v>
      </x:c>
      <x:c r="F10" s="8" t="str">
        <x:v>中科新材料</x:v>
      </x:c>
      <x:c r="G10" s="8" t="str">
        <x:v>LED灯珠</x:v>
      </x:c>
      <x:c r="H10" s="8" t="str">
        <x:v>订单第210行；入库第66行</x:v>
      </x:c>
      <x:c r="I10" s="8" t="str">
        <x:f>IF(COUNTIFS('金额差异'!$A$6:$A$30,A10)&gt;0,"是","否")</x:f>
        <x:v>是</x:v>
      </x:c>
    </x:row>
    <x:row r="11" ht="25" customHeight="1">
      <x:c r="A11" s="8" t="str">
        <x:v>PO-2026-17514</x:v>
      </x:c>
      <x:c r="B11" s="8" t="str">
        <x:v>PO-2026-17514-01</x:v>
      </x:c>
      <x:c r="C11" s="10" t="n">
        <x:v>84</x:v>
      </x:c>
      <x:c r="D11" s="10" t="n">
        <x:v>53</x:v>
      </x:c>
      <x:c r="E11" s="10" t="n">
        <x:f>ROUND(D11-C11,0)</x:f>
        <x:v>-31</x:v>
      </x:c>
      <x:c r="F11" s="8" t="str">
        <x:v>嘉禾橡塑制品</x:v>
      </x:c>
      <x:c r="G11" s="8" t="str">
        <x:v>线缆护套</x:v>
      </x:c>
      <x:c r="H11" s="8" t="str">
        <x:v>订单第172行；入库第241行</x:v>
      </x:c>
      <x:c r="I11" s="8" t="str">
        <x:f>IF(COUNTIFS('金额差异'!$A$6:$A$30,A11)&gt;0,"是","否")</x:f>
        <x:v>是</x:v>
      </x:c>
    </x:row>
    <x:row r="12" ht="25" customHeight="1">
      <x:c r="A12" s="8" t="str">
        <x:v>PO-2026-17667</x:v>
      </x:c>
      <x:c r="B12" s="8" t="str">
        <x:v>PO-2026-17667-01</x:v>
      </x:c>
      <x:c r="C12" s="10" t="n">
        <x:v>286</x:v>
      </x:c>
      <x:c r="D12" s="10" t="n">
        <x:v>317</x:v>
      </x:c>
      <x:c r="E12" s="10" t="n">
        <x:f>ROUND(D12-C12,0)</x:f>
        <x:v>31</x:v>
      </x:c>
      <x:c r="F12" s="8" t="str">
        <x:v>恒信钢铁贸易</x:v>
      </x:c>
      <x:c r="G12" s="8" t="str">
        <x:v>橡胶密封条</x:v>
      </x:c>
      <x:c r="H12" s="8" t="str">
        <x:v>订单第60行；入库第54行</x:v>
      </x:c>
      <x:c r="I12" s="8" t="str">
        <x:f>IF(COUNTIFS('金额差异'!$A$6:$A$30,A12)&gt;0,"是","否")</x:f>
        <x:v>是</x:v>
      </x:c>
    </x:row>
    <x:row r="13" ht="25" customHeight="1">
      <x:c r="A13" s="8" t="str">
        <x:v>PO-2026-21715</x:v>
      </x:c>
      <x:c r="B13" s="8" t="str">
        <x:v>PO-2026-21715-01</x:v>
      </x:c>
      <x:c r="C13" s="10" t="n">
        <x:v>135</x:v>
      </x:c>
      <x:c r="D13" s="10" t="n">
        <x:v>143</x:v>
      </x:c>
      <x:c r="E13" s="10" t="n">
        <x:f>ROUND(D13-C13,0)</x:f>
        <x:v>8</x:v>
      </x:c>
      <x:c r="F13" s="8" t="str">
        <x:v>博远仪器仪表</x:v>
      </x:c>
      <x:c r="G13" s="8" t="str">
        <x:v>不锈钢法兰</x:v>
      </x:c>
      <x:c r="H13" s="8" t="str">
        <x:v>订单第62行；入库第9行</x:v>
      </x:c>
      <x:c r="I13" s="8" t="str">
        <x:f>IF(COUNTIFS('金额差异'!$A$6:$A$30,A13)&gt;0,"是","否")</x:f>
        <x:v>是</x:v>
      </x:c>
    </x:row>
    <x:row r="14" ht="25" customHeight="1">
      <x:c r="A14" s="8" t="str">
        <x:v>PO-2026-27149</x:v>
      </x:c>
      <x:c r="B14" s="8" t="str">
        <x:v>PO-2026-27149-01</x:v>
      </x:c>
      <x:c r="C14" s="10" t="n">
        <x:v>252</x:v>
      </x:c>
      <x:c r="D14" s="10" t="n">
        <x:v>224</x:v>
      </x:c>
      <x:c r="E14" s="10" t="n">
        <x:f>ROUND(D14-C14,0)</x:f>
        <x:v>-28</x:v>
      </x:c>
      <x:c r="F14" s="8" t="str">
        <x:v>中科新材料</x:v>
      </x:c>
      <x:c r="G14" s="8" t="str">
        <x:v>304不锈钢板</x:v>
      </x:c>
      <x:c r="H14" s="8" t="str">
        <x:v>订单第81行；入库第78行</x:v>
      </x:c>
      <x:c r="I14" s="8" t="str">
        <x:f>IF(COUNTIFS('金额差异'!$A$6:$A$30,A14)&gt;0,"是","否")</x:f>
        <x:v>是</x:v>
      </x:c>
    </x:row>
    <x:row r="15" ht="25" customHeight="1">
      <x:c r="A15" s="8" t="str">
        <x:v>PO-2026-32889</x:v>
      </x:c>
      <x:c r="B15" s="8" t="str">
        <x:v>PO-2026-32889-01</x:v>
      </x:c>
      <x:c r="C15" s="10" t="n">
        <x:v>348</x:v>
      </x:c>
      <x:c r="D15" s="10" t="n">
        <x:v>357</x:v>
      </x:c>
      <x:c r="E15" s="10" t="n">
        <x:f>ROUND(D15-C15,0)</x:f>
        <x:v>9</x:v>
      </x:c>
      <x:c r="F15" s="8" t="str">
        <x:v>东方精密零件</x:v>
      </x:c>
      <x:c r="G15" s="8" t="str">
        <x:v>减速机</x:v>
      </x:c>
      <x:c r="H15" s="8" t="str">
        <x:v>订单第90行；入库第3行</x:v>
      </x:c>
      <x:c r="I15" s="8" t="str">
        <x:f>IF(COUNTIFS('金额差异'!$A$6:$A$30,A15)&gt;0,"是","否")</x:f>
        <x:v>是</x:v>
      </x:c>
    </x:row>
    <x:row r="16" ht="25" customHeight="1">
      <x:c r="A16" s="8" t="str">
        <x:v>PO-2026-32952</x:v>
      </x:c>
      <x:c r="B16" s="8" t="str">
        <x:v>PO-2026-32952-01</x:v>
      </x:c>
      <x:c r="C16" s="10" t="n">
        <x:v>415</x:v>
      </x:c>
      <x:c r="D16" s="10" t="n">
        <x:v>438</x:v>
      </x:c>
      <x:c r="E16" s="10" t="n">
        <x:f>ROUND(D16-C16,0)</x:f>
        <x:v>23</x:v>
      </x:c>
      <x:c r="F16" s="8" t="str">
        <x:v>博远仪器仪表</x:v>
      </x:c>
      <x:c r="G16" s="8" t="str">
        <x:v>LED灯珠</x:v>
      </x:c>
      <x:c r="H16" s="8" t="str">
        <x:v>订单第220行；入库第224行</x:v>
      </x:c>
      <x:c r="I16" s="8" t="str">
        <x:f>IF(COUNTIFS('金额差异'!$A$6:$A$30,A16)&gt;0,"是","否")</x:f>
        <x:v>是</x:v>
      </x:c>
    </x:row>
    <x:row r="17" ht="25" customHeight="1">
      <x:c r="A17" s="8" t="str">
        <x:v>PO-2026-32988</x:v>
      </x:c>
      <x:c r="B17" s="8" t="str">
        <x:v>PO-2026-32988-01</x:v>
      </x:c>
      <x:c r="C17" s="10" t="n">
        <x:v>473</x:v>
      </x:c>
      <x:c r="D17" s="10" t="n">
        <x:v>465</x:v>
      </x:c>
      <x:c r="E17" s="10" t="n">
        <x:f>ROUND(D17-C17,0)</x:f>
        <x:v>-8</x:v>
      </x:c>
      <x:c r="F17" s="8" t="str">
        <x:v>华盛五金制造</x:v>
      </x:c>
      <x:c r="G17" s="8" t="str">
        <x:v>M8×30螺栓</x:v>
      </x:c>
      <x:c r="H17" s="8" t="str">
        <x:v>订单第164行；入库第122行</x:v>
      </x:c>
      <x:c r="I17" s="8" t="str">
        <x:f>IF(COUNTIFS('金额差异'!$A$6:$A$30,A17)&gt;0,"是","否")</x:f>
        <x:v>是</x:v>
      </x:c>
    </x:row>
    <x:row r="18" ht="25" customHeight="1">
      <x:c r="A18" s="8" t="str">
        <x:v>PO-2026-34639</x:v>
      </x:c>
      <x:c r="B18" s="8" t="str">
        <x:v>PO-2026-34639-01</x:v>
      </x:c>
      <x:c r="C18" s="10" t="n">
        <x:v>296</x:v>
      </x:c>
      <x:c r="D18" s="10" t="n">
        <x:v>312</x:v>
      </x:c>
      <x:c r="E18" s="10" t="n">
        <x:f>ROUND(D18-C18,0)</x:f>
        <x:v>16</x:v>
      </x:c>
      <x:c r="F18" s="8" t="str">
        <x:v>嘉禾橡塑制品</x:v>
      </x:c>
      <x:c r="G18" s="8" t="str">
        <x:v>6205轴承</x:v>
      </x:c>
      <x:c r="H18" s="8" t="str">
        <x:v>订单第272行；入库第202行</x:v>
      </x:c>
      <x:c r="I18" s="8" t="str">
        <x:f>IF(COUNTIFS('金额差异'!$A$6:$A$30,A18)&gt;0,"是","否")</x:f>
        <x:v>是</x:v>
      </x:c>
    </x:row>
    <x:row r="19" ht="25" customHeight="1">
      <x:c r="A19" s="8" t="str">
        <x:v>PO-2026-39294</x:v>
      </x:c>
      <x:c r="B19" s="8" t="str">
        <x:v>PO-2026-39294-01</x:v>
      </x:c>
      <x:c r="C19" s="10" t="n">
        <x:v>230</x:v>
      </x:c>
      <x:c r="D19" s="10" t="n">
        <x:v>199</x:v>
      </x:c>
      <x:c r="E19" s="10" t="n">
        <x:f>ROUND(D19-C19,0)</x:f>
        <x:v>-31</x:v>
      </x:c>
      <x:c r="F19" s="8" t="str">
        <x:v>金鹏电子科技</x:v>
      </x:c>
      <x:c r="G19" s="8" t="str">
        <x:v>密封垫圈</x:v>
      </x:c>
      <x:c r="H19" s="8" t="str">
        <x:v>订单第187行；入库第129行</x:v>
      </x:c>
      <x:c r="I19" s="8" t="str">
        <x:f>IF(COUNTIFS('金额差异'!$A$6:$A$30,A19)&gt;0,"是","否")</x:f>
        <x:v>是</x:v>
      </x:c>
    </x:row>
    <x:row r="20" ht="25" customHeight="1">
      <x:c r="A20" s="8" t="str">
        <x:v>PO-2026-41441</x:v>
      </x:c>
      <x:c r="B20" s="8" t="str">
        <x:v>PO-2026-41441-01</x:v>
      </x:c>
      <x:c r="C20" s="10" t="n">
        <x:v>98</x:v>
      </x:c>
      <x:c r="D20" s="10" t="n">
        <x:v>115</x:v>
      </x:c>
      <x:c r="E20" s="10" t="n">
        <x:f>ROUND(D20-C20,0)</x:f>
        <x:v>17</x:v>
      </x:c>
      <x:c r="F20" s="8" t="str">
        <x:v>宏图液压设备</x:v>
      </x:c>
      <x:c r="G20" s="8" t="str">
        <x:v>接线端子排</x:v>
      </x:c>
      <x:c r="H20" s="8" t="str">
        <x:v>订单第287行；入库第5行</x:v>
      </x:c>
      <x:c r="I20" s="8" t="str">
        <x:f>IF(COUNTIFS('金额差异'!$A$6:$A$30,A20)&gt;0,"是","否")</x:f>
        <x:v>是</x:v>
      </x:c>
    </x:row>
  </x:sheetData>
  <x:conditionalFormatting sqref="E6:E20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8297c9ece24c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9" hidden="0" customWidth="1"/>
    <x:col min="8" max="8" width="37" hidden="0" customWidth="1"/>
    <x:col min="9" max="9" width="17" hidden="0" customWidth="1"/>
    <x:col min="10" max="10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金额差异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9" t="str">
        <x:v>差额为入库减订单：正数入库金额较高，负数较低。金额单位：元。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7" t="str">
        <x:v>订单号</x:v>
      </x:c>
      <x:c r="B5" s="7" t="str">
        <x:v>入库单号</x:v>
      </x:c>
      <x:c r="C5" s="7" t="str">
        <x:v>订单金额</x:v>
      </x:c>
      <x:c r="D5" s="7" t="str">
        <x:v>入库金额</x:v>
      </x:c>
      <x:c r="E5" s="7" t="str">
        <x:v>差异金额</x:v>
      </x:c>
      <x:c r="F5" s="7" t="str">
        <x:v>供应商</x:v>
      </x:c>
      <x:c r="G5" s="7" t="str">
        <x:v>商品</x:v>
      </x:c>
      <x:c r="H5" s="7" t="str">
        <x:v>源文件行号</x:v>
      </x:c>
      <x:c r="I5" s="7" t="str">
        <x:v>订单数量</x:v>
      </x:c>
      <x:c r="J5" s="7" t="str">
        <x:v>入库数量</x:v>
      </x:c>
    </x:row>
    <x:row r="6" ht="25" customHeight="1">
      <x:c r="A6" s="8" t="str">
        <x:v>PO-2026-10607</x:v>
      </x:c>
      <x:c r="B6" s="8" t="str">
        <x:v>PO-2026-10607-01</x:v>
      </x:c>
      <x:c r="C6" s="11" t="n">
        <x:v>28025.68</x:v>
      </x:c>
      <x:c r="D6" s="11" t="n">
        <x:v>29492.14</x:v>
      </x:c>
      <x:c r="E6" s="11" t="n">
        <x:f>ROUND(D6-C6,2)</x:f>
        <x:v>1466.46</x:v>
      </x:c>
      <x:c r="F6" s="8" t="str">
        <x:v>东方精密零件</x:v>
      </x:c>
      <x:c r="G6" s="8" t="str">
        <x:v>液压油缸</x:v>
      </x:c>
      <x:c r="H6" s="8" t="str">
        <x:v>订单第107行；入库第212行</x:v>
      </x:c>
      <x:c r="I6" s="12" t="n">
        <x:v>344</x:v>
      </x:c>
      <x:c r="J6" s="12" t="n">
        <x:v>362</x:v>
      </x:c>
    </x:row>
    <x:row r="7" ht="25" customHeight="1">
      <x:c r="A7" s="8" t="str">
        <x:v>PO-2026-11619</x:v>
      </x:c>
      <x:c r="B7" s="8" t="str">
        <x:v>PO-2026-11619-01</x:v>
      </x:c>
      <x:c r="C7" s="11" t="n">
        <x:v>1272.24</x:v>
      </x:c>
      <x:c r="D7" s="11" t="n">
        <x:v>1171.8</x:v>
      </x:c>
      <x:c r="E7" s="11" t="n">
        <x:f>ROUND(D7-C7,2)</x:f>
        <x:v>-100.44</x:v>
      </x:c>
      <x:c r="F7" s="8" t="str">
        <x:v>东方精密零件</x:v>
      </x:c>
      <x:c r="G7" s="8" t="str">
        <x:v>减速机</x:v>
      </x:c>
      <x:c r="H7" s="8" t="str">
        <x:v>订单第296行；入库第216行</x:v>
      </x:c>
      <x:c r="I7" s="12" t="n">
        <x:v>76</x:v>
      </x:c>
      <x:c r="J7" s="12" t="n">
        <x:v>70</x:v>
      </x:c>
    </x:row>
    <x:row r="8" ht="25" customHeight="1">
      <x:c r="A8" s="8" t="str">
        <x:v>PO-2026-13162</x:v>
      </x:c>
      <x:c r="B8" s="8" t="str">
        <x:v>PO-2026-13162-01</x:v>
      </x:c>
      <x:c r="C8" s="11" t="n">
        <x:v>3128.4</x:v>
      </x:c>
      <x:c r="D8" s="11" t="n">
        <x:v>3204.42</x:v>
      </x:c>
      <x:c r="E8" s="11" t="n">
        <x:f>ROUND(D8-C8,2)</x:f>
        <x:v>76.02</x:v>
      </x:c>
      <x:c r="F8" s="8" t="str">
        <x:v>嘉禾橡塑制品</x:v>
      </x:c>
      <x:c r="G8" s="8" t="str">
        <x:v>电容器</x:v>
      </x:c>
      <x:c r="H8" s="8" t="str">
        <x:v>订单第185行；入库第248行</x:v>
      </x:c>
      <x:c r="I8" s="12" t="n">
        <x:v>72</x:v>
      </x:c>
      <x:c r="J8" s="12" t="n">
        <x:v>72</x:v>
      </x:c>
    </x:row>
    <x:row r="9" ht="25" customHeight="1">
      <x:c r="A9" s="8" t="str">
        <x:v>PO-2026-14490</x:v>
      </x:c>
      <x:c r="B9" s="8" t="str">
        <x:v>PO-2026-14490-01</x:v>
      </x:c>
      <x:c r="C9" s="11" t="n">
        <x:v>10598.96</x:v>
      </x:c>
      <x:c r="D9" s="11" t="n">
        <x:v>11378.72</x:v>
      </x:c>
      <x:c r="E9" s="11" t="n">
        <x:f>ROUND(D9-C9,2)</x:f>
        <x:v>779.76</x:v>
      </x:c>
      <x:c r="F9" s="8" t="str">
        <x:v>东方精密零件</x:v>
      </x:c>
      <x:c r="G9" s="8" t="str">
        <x:v>不锈钢法兰</x:v>
      </x:c>
      <x:c r="H9" s="8" t="str">
        <x:v>订单第6行；入库第156行</x:v>
      </x:c>
      <x:c r="I9" s="12" t="n">
        <x:v>367</x:v>
      </x:c>
      <x:c r="J9" s="12" t="n">
        <x:v>394</x:v>
      </x:c>
    </x:row>
    <x:row r="10" ht="25" customHeight="1">
      <x:c r="A10" s="8" t="str">
        <x:v>PO-2026-14964</x:v>
      </x:c>
      <x:c r="B10" s="8" t="str">
        <x:v>PO-2026-14964-01</x:v>
      </x:c>
      <x:c r="C10" s="11" t="n">
        <x:v>9766.4</x:v>
      </x:c>
      <x:c r="D10" s="11" t="n">
        <x:v>9363.2</x:v>
      </x:c>
      <x:c r="E10" s="11" t="n">
        <x:f>ROUND(D10-C10,2)</x:f>
        <x:v>-403.2</x:v>
      </x:c>
      <x:c r="F10" s="8" t="str">
        <x:v>中科新材料</x:v>
      </x:c>
      <x:c r="G10" s="8" t="str">
        <x:v>线缆护套</x:v>
      </x:c>
      <x:c r="H10" s="8" t="str">
        <x:v>订单第114行；入库第80行</x:v>
      </x:c>
      <x:c r="I10" s="12" t="n">
        <x:v>436</x:v>
      </x:c>
      <x:c r="J10" s="12" t="n">
        <x:v>418</x:v>
      </x:c>
    </x:row>
    <x:row r="11" ht="25" customHeight="1">
      <x:c r="A11" s="8" t="str">
        <x:v>PO-2026-15944</x:v>
      </x:c>
      <x:c r="B11" s="8" t="str">
        <x:v>PO-2026-15944-01</x:v>
      </x:c>
      <x:c r="C11" s="11" t="n">
        <x:v>15083.52</x:v>
      </x:c>
      <x:c r="D11" s="11" t="n">
        <x:v>14569.17</x:v>
      </x:c>
      <x:c r="E11" s="11" t="n">
        <x:f>ROUND(D11-C11,2)</x:f>
        <x:v>-514.35</x:v>
      </x:c>
      <x:c r="F11" s="8" t="str">
        <x:v>嘉禾橡塑制品</x:v>
      </x:c>
      <x:c r="G11" s="8" t="str">
        <x:v>铝型材</x:v>
      </x:c>
      <x:c r="H11" s="8" t="str">
        <x:v>订单第36行；入库第112行</x:v>
      </x:c>
      <x:c r="I11" s="12" t="n">
        <x:v>256</x:v>
      </x:c>
      <x:c r="J11" s="12" t="n">
        <x:v>256</x:v>
      </x:c>
    </x:row>
    <x:row r="12" ht="25" customHeight="1">
      <x:c r="A12" s="8" t="str">
        <x:v>PO-2026-16096</x:v>
      </x:c>
      <x:c r="B12" s="8" t="str">
        <x:v>PO-2026-16096-01</x:v>
      </x:c>
      <x:c r="C12" s="11" t="n">
        <x:v>10979.58</x:v>
      </x:c>
      <x:c r="D12" s="11" t="n">
        <x:v>11225.52</x:v>
      </x:c>
      <x:c r="E12" s="11" t="n">
        <x:f>ROUND(D12-C12,2)</x:f>
        <x:v>245.94</x:v>
      </x:c>
      <x:c r="F12" s="8" t="str">
        <x:v>嘉禾橡塑制品</x:v>
      </x:c>
      <x:c r="G12" s="8" t="str">
        <x:v>电磁阀</x:v>
      </x:c>
      <x:c r="H12" s="8" t="str">
        <x:v>订单第78行；入库第27行</x:v>
      </x:c>
      <x:c r="I12" s="12" t="n">
        <x:v>186</x:v>
      </x:c>
      <x:c r="J12" s="12" t="n">
        <x:v>186</x:v>
      </x:c>
    </x:row>
    <x:row r="13" ht="25" customHeight="1">
      <x:c r="A13" s="8" t="str">
        <x:v>PO-2026-16273</x:v>
      </x:c>
      <x:c r="B13" s="8" t="str">
        <x:v>PO-2026-16273-01</x:v>
      </x:c>
      <x:c r="C13" s="11" t="n">
        <x:v>6996.35</x:v>
      </x:c>
      <x:c r="D13" s="11" t="n">
        <x:v>4773.98</x:v>
      </x:c>
      <x:c r="E13" s="11" t="n">
        <x:f>ROUND(D13-C13,2)</x:f>
        <x:v>-2222.37</x:v>
      </x:c>
      <x:c r="F13" s="8" t="str">
        <x:v>中科新材料</x:v>
      </x:c>
      <x:c r="G13" s="8" t="str">
        <x:v>LED灯珠</x:v>
      </x:c>
      <x:c r="H13" s="8" t="str">
        <x:v>订单第210行；入库第66行</x:v>
      </x:c>
      <x:c r="I13" s="12" t="n">
        <x:v>85</x:v>
      </x:c>
      <x:c r="J13" s="12" t="n">
        <x:v>58</x:v>
      </x:c>
    </x:row>
    <x:row r="14" ht="25" customHeight="1">
      <x:c r="A14" s="8" t="str">
        <x:v>PO-2026-17514</x:v>
      </x:c>
      <x:c r="B14" s="8" t="str">
        <x:v>PO-2026-17514-01</x:v>
      </x:c>
      <x:c r="C14" s="11" t="n">
        <x:v>1861.44</x:v>
      </x:c>
      <x:c r="D14" s="11" t="n">
        <x:v>1174.48</x:v>
      </x:c>
      <x:c r="E14" s="11" t="n">
        <x:f>ROUND(D14-C14,2)</x:f>
        <x:v>-686.96</x:v>
      </x:c>
      <x:c r="F14" s="8" t="str">
        <x:v>嘉禾橡塑制品</x:v>
      </x:c>
      <x:c r="G14" s="8" t="str">
        <x:v>线缆护套</x:v>
      </x:c>
      <x:c r="H14" s="8" t="str">
        <x:v>订单第172行；入库第241行</x:v>
      </x:c>
      <x:c r="I14" s="12" t="n">
        <x:v>84</x:v>
      </x:c>
      <x:c r="J14" s="12" t="n">
        <x:v>53</x:v>
      </x:c>
    </x:row>
    <x:row r="15" ht="25" customHeight="1">
      <x:c r="A15" s="8" t="str">
        <x:v>PO-2026-17667</x:v>
      </x:c>
      <x:c r="B15" s="8" t="str">
        <x:v>PO-2026-17667-01</x:v>
      </x:c>
      <x:c r="C15" s="11" t="n">
        <x:v>5674.24</x:v>
      </x:c>
      <x:c r="D15" s="11" t="n">
        <x:v>6289.28</x:v>
      </x:c>
      <x:c r="E15" s="11" t="n">
        <x:f>ROUND(D15-C15,2)</x:f>
        <x:v>615.04</x:v>
      </x:c>
      <x:c r="F15" s="8" t="str">
        <x:v>恒信钢铁贸易</x:v>
      </x:c>
      <x:c r="G15" s="8" t="str">
        <x:v>橡胶密封条</x:v>
      </x:c>
      <x:c r="H15" s="8" t="str">
        <x:v>订单第60行；入库第54行</x:v>
      </x:c>
      <x:c r="I15" s="12" t="n">
        <x:v>286</x:v>
      </x:c>
      <x:c r="J15" s="12" t="n">
        <x:v>317</x:v>
      </x:c>
    </x:row>
    <x:row r="16" ht="25" customHeight="1">
      <x:c r="A16" s="8" t="str">
        <x:v>PO-2026-19991</x:v>
      </x:c>
      <x:c r="B16" s="8" t="str">
        <x:v>PO-2026-19991-01</x:v>
      </x:c>
      <x:c r="C16" s="11" t="n">
        <x:v>5962.2</x:v>
      </x:c>
      <x:c r="D16" s="11" t="n">
        <x:v>5884.1</x:v>
      </x:c>
      <x:c r="E16" s="11" t="n">
        <x:f>ROUND(D16-C16,2)</x:f>
        <x:v>-78.1</x:v>
      </x:c>
      <x:c r="F16" s="8" t="str">
        <x:v>博远仪器仪表</x:v>
      </x:c>
      <x:c r="G16" s="8" t="str">
        <x:v>减速机</x:v>
      </x:c>
      <x:c r="H16" s="8" t="str">
        <x:v>订单第223行；入库第138行</x:v>
      </x:c>
      <x:c r="I16" s="12" t="n">
        <x:v>114</x:v>
      </x:c>
      <x:c r="J16" s="12" t="n">
        <x:v>114</x:v>
      </x:c>
    </x:row>
    <x:row r="17" ht="25" customHeight="1">
      <x:c r="A17" s="8" t="str">
        <x:v>PO-2026-21715</x:v>
      </x:c>
      <x:c r="B17" s="8" t="str">
        <x:v>PO-2026-21715-01</x:v>
      </x:c>
      <x:c r="C17" s="11" t="n">
        <x:v>11097</x:v>
      </x:c>
      <x:c r="D17" s="11" t="n">
        <x:v>11754.6</x:v>
      </x:c>
      <x:c r="E17" s="11" t="n">
        <x:f>ROUND(D17-C17,2)</x:f>
        <x:v>657.6</x:v>
      </x:c>
      <x:c r="F17" s="8" t="str">
        <x:v>博远仪器仪表</x:v>
      </x:c>
      <x:c r="G17" s="8" t="str">
        <x:v>不锈钢法兰</x:v>
      </x:c>
      <x:c r="H17" s="8" t="str">
        <x:v>订单第62行；入库第9行</x:v>
      </x:c>
      <x:c r="I17" s="12" t="n">
        <x:v>135</x:v>
      </x:c>
      <x:c r="J17" s="12" t="n">
        <x:v>143</x:v>
      </x:c>
    </x:row>
    <x:row r="18" ht="25" customHeight="1">
      <x:c r="A18" s="8" t="str">
        <x:v>PO-2026-26222</x:v>
      </x:c>
      <x:c r="B18" s="8" t="str">
        <x:v>PO-2026-26222-01</x:v>
      </x:c>
      <x:c r="C18" s="11" t="n">
        <x:v>2518.67</x:v>
      </x:c>
      <x:c r="D18" s="11" t="n">
        <x:v>2489.2</x:v>
      </x:c>
      <x:c r="E18" s="11" t="n">
        <x:f>ROUND(D18-C18,2)</x:f>
        <x:v>-29.47</x:v>
      </x:c>
      <x:c r="F18" s="8" t="str">
        <x:v>博远仪器仪表</x:v>
      </x:c>
      <x:c r="G18" s="8" t="str">
        <x:v>气动接头</x:v>
      </x:c>
      <x:c r="H18" s="8" t="str">
        <x:v>订单第89行；入库第168行</x:v>
      </x:c>
      <x:c r="I18" s="12" t="n">
        <x:v>77</x:v>
      </x:c>
      <x:c r="J18" s="12" t="n">
        <x:v>77</x:v>
      </x:c>
    </x:row>
    <x:row r="19" ht="25" customHeight="1">
      <x:c r="A19" s="8" t="str">
        <x:v>PO-2026-27149</x:v>
      </x:c>
      <x:c r="B19" s="8" t="str">
        <x:v>PO-2026-27149-01</x:v>
      </x:c>
      <x:c r="C19" s="11" t="n">
        <x:v>11513.88</x:v>
      </x:c>
      <x:c r="D19" s="11" t="n">
        <x:v>10234.56</x:v>
      </x:c>
      <x:c r="E19" s="11" t="n">
        <x:f>ROUND(D19-C19,2)</x:f>
        <x:v>-1279.32</x:v>
      </x:c>
      <x:c r="F19" s="8" t="str">
        <x:v>中科新材料</x:v>
      </x:c>
      <x:c r="G19" s="8" t="str">
        <x:v>304不锈钢板</x:v>
      </x:c>
      <x:c r="H19" s="8" t="str">
        <x:v>订单第81行；入库第78行</x:v>
      </x:c>
      <x:c r="I19" s="12" t="n">
        <x:v>252</x:v>
      </x:c>
      <x:c r="J19" s="12" t="n">
        <x:v>224</x:v>
      </x:c>
    </x:row>
    <x:row r="20" ht="25" customHeight="1">
      <x:c r="A20" s="8" t="str">
        <x:v>PO-2026-28754</x:v>
      </x:c>
      <x:c r="B20" s="8" t="str">
        <x:v>PO-2026-28754-01</x:v>
      </x:c>
      <x:c r="C20" s="11" t="n">
        <x:v>9202.04</x:v>
      </x:c>
      <x:c r="D20" s="11" t="n">
        <x:v>9341.91</x:v>
      </x:c>
      <x:c r="E20" s="11" t="n">
        <x:f>ROUND(D20-C20,2)</x:f>
        <x:v>139.87</x:v>
      </x:c>
      <x:c r="F20" s="8" t="str">
        <x:v>嘉禾橡塑制品</x:v>
      </x:c>
      <x:c r="G20" s="8" t="str">
        <x:v>M8×30螺栓</x:v>
      </x:c>
      <x:c r="H20" s="8" t="str">
        <x:v>订单第162行；入库第52行</x:v>
      </x:c>
      <x:c r="I20" s="12" t="n">
        <x:v>124</x:v>
      </x:c>
      <x:c r="J20" s="12" t="n">
        <x:v>124</x:v>
      </x:c>
    </x:row>
    <x:row r="21" ht="25" customHeight="1">
      <x:c r="A21" s="8" t="str">
        <x:v>PO-2026-28853</x:v>
      </x:c>
      <x:c r="B21" s="8" t="str">
        <x:v>PO-2026-28853-01</x:v>
      </x:c>
      <x:c r="C21" s="11" t="n">
        <x:v>12526.8</x:v>
      </x:c>
      <x:c r="D21" s="11" t="n">
        <x:v>13176.94</x:v>
      </x:c>
      <x:c r="E21" s="11" t="n">
        <x:f>ROUND(D21-C21,2)</x:f>
        <x:v>650.14</x:v>
      </x:c>
      <x:c r="F21" s="8" t="str">
        <x:v>华盛五金制造</x:v>
      </x:c>
      <x:c r="G21" s="8" t="str">
        <x:v>电磁阀</x:v>
      </x:c>
      <x:c r="H21" s="8" t="str">
        <x:v>订单第133行；入库第217行</x:v>
      </x:c>
      <x:c r="I21" s="12" t="n">
        <x:v>264</x:v>
      </x:c>
      <x:c r="J21" s="12" t="n">
        <x:v>264</x:v>
      </x:c>
    </x:row>
    <x:row r="22" ht="25" customHeight="1">
      <x:c r="A22" s="8" t="str">
        <x:v>PO-2026-32067</x:v>
      </x:c>
      <x:c r="B22" s="8" t="str">
        <x:v>PO-2026-32067-01</x:v>
      </x:c>
      <x:c r="C22" s="11" t="n">
        <x:v>10569.64</x:v>
      </x:c>
      <x:c r="D22" s="11" t="n">
        <x:v>10866.65</x:v>
      </x:c>
      <x:c r="E22" s="11" t="n">
        <x:f>ROUND(D22-C22,2)</x:f>
        <x:v>297.01</x:v>
      </x:c>
      <x:c r="F22" s="8" t="str">
        <x:v>博远仪器仪表</x:v>
      </x:c>
      <x:c r="G22" s="8" t="str">
        <x:v>液压油缸</x:v>
      </x:c>
      <x:c r="H22" s="8" t="str">
        <x:v>订单第92行；入库第140行</x:v>
      </x:c>
      <x:c r="I22" s="12" t="n">
        <x:v>356</x:v>
      </x:c>
      <x:c r="J22" s="12" t="n">
        <x:v>356</x:v>
      </x:c>
    </x:row>
    <x:row r="23" ht="25" customHeight="1">
      <x:c r="A23" s="8" t="str">
        <x:v>PO-2026-32889</x:v>
      </x:c>
      <x:c r="B23" s="8" t="str">
        <x:v>PO-2026-32889-01</x:v>
      </x:c>
      <x:c r="C23" s="11" t="n">
        <x:v>6914.76</x:v>
      </x:c>
      <x:c r="D23" s="11" t="n">
        <x:v>7093.59</x:v>
      </x:c>
      <x:c r="E23" s="11" t="n">
        <x:f>ROUND(D23-C23,2)</x:f>
        <x:v>178.83</x:v>
      </x:c>
      <x:c r="F23" s="8" t="str">
        <x:v>东方精密零件</x:v>
      </x:c>
      <x:c r="G23" s="8" t="str">
        <x:v>减速机</x:v>
      </x:c>
      <x:c r="H23" s="8" t="str">
        <x:v>订单第90行；入库第3行</x:v>
      </x:c>
      <x:c r="I23" s="12" t="n">
        <x:v>348</x:v>
      </x:c>
      <x:c r="J23" s="12" t="n">
        <x:v>357</x:v>
      </x:c>
    </x:row>
    <x:row r="24" ht="25" customHeight="1">
      <x:c r="A24" s="8" t="str">
        <x:v>PO-2026-32952</x:v>
      </x:c>
      <x:c r="B24" s="8" t="str">
        <x:v>PO-2026-32952-01</x:v>
      </x:c>
      <x:c r="C24" s="11" t="n">
        <x:v>11155.2</x:v>
      </x:c>
      <x:c r="D24" s="11" t="n">
        <x:v>11773.44</x:v>
      </x:c>
      <x:c r="E24" s="11" t="n">
        <x:f>ROUND(D24-C24,2)</x:f>
        <x:v>618.24</x:v>
      </x:c>
      <x:c r="F24" s="8" t="str">
        <x:v>博远仪器仪表</x:v>
      </x:c>
      <x:c r="G24" s="8" t="str">
        <x:v>LED灯珠</x:v>
      </x:c>
      <x:c r="H24" s="8" t="str">
        <x:v>订单第220行；入库第224行</x:v>
      </x:c>
      <x:c r="I24" s="12" t="n">
        <x:v>415</x:v>
      </x:c>
      <x:c r="J24" s="12" t="n">
        <x:v>438</x:v>
      </x:c>
    </x:row>
    <x:row r="25" ht="25" customHeight="1">
      <x:c r="A25" s="8" t="str">
        <x:v>PO-2026-32988</x:v>
      </x:c>
      <x:c r="B25" s="8" t="str">
        <x:v>PO-2026-32988-01</x:v>
      </x:c>
      <x:c r="C25" s="11" t="n">
        <x:v>6957.83</x:v>
      </x:c>
      <x:c r="D25" s="11" t="n">
        <x:v>6840.15</x:v>
      </x:c>
      <x:c r="E25" s="11" t="n">
        <x:f>ROUND(D25-C25,2)</x:f>
        <x:v>-117.68</x:v>
      </x:c>
      <x:c r="F25" s="8" t="str">
        <x:v>华盛五金制造</x:v>
      </x:c>
      <x:c r="G25" s="8" t="str">
        <x:v>M8×30螺栓</x:v>
      </x:c>
      <x:c r="H25" s="8" t="str">
        <x:v>订单第164行；入库第122行</x:v>
      </x:c>
      <x:c r="I25" s="12" t="n">
        <x:v>473</x:v>
      </x:c>
      <x:c r="J25" s="12" t="n">
        <x:v>465</x:v>
      </x:c>
    </x:row>
    <x:row r="26" ht="25" customHeight="1">
      <x:c r="A26" s="8" t="str">
        <x:v>PO-2026-34639</x:v>
      </x:c>
      <x:c r="B26" s="8" t="str">
        <x:v>PO-2026-34639-01</x:v>
      </x:c>
      <x:c r="C26" s="11" t="n">
        <x:v>12201.12</x:v>
      </x:c>
      <x:c r="D26" s="11" t="n">
        <x:v>12860.64</x:v>
      </x:c>
      <x:c r="E26" s="11" t="n">
        <x:f>ROUND(D26-C26,2)</x:f>
        <x:v>659.52</x:v>
      </x:c>
      <x:c r="F26" s="8" t="str">
        <x:v>嘉禾橡塑制品</x:v>
      </x:c>
      <x:c r="G26" s="8" t="str">
        <x:v>6205轴承</x:v>
      </x:c>
      <x:c r="H26" s="8" t="str">
        <x:v>订单第272行；入库第202行</x:v>
      </x:c>
      <x:c r="I26" s="12" t="n">
        <x:v>296</x:v>
      </x:c>
      <x:c r="J26" s="12" t="n">
        <x:v>312</x:v>
      </x:c>
    </x:row>
    <x:row r="27" ht="25" customHeight="1">
      <x:c r="A27" s="8" t="str">
        <x:v>PO-2026-34924</x:v>
      </x:c>
      <x:c r="B27" s="8" t="str">
        <x:v>PO-2026-34924-01</x:v>
      </x:c>
      <x:c r="C27" s="11" t="n">
        <x:v>2485.44</x:v>
      </x:c>
      <x:c r="D27" s="11" t="n">
        <x:v>2424.8</x:v>
      </x:c>
      <x:c r="E27" s="11" t="n">
        <x:f>ROUND(D27-C27,2)</x:f>
        <x:v>-60.64</x:v>
      </x:c>
      <x:c r="F27" s="8" t="str">
        <x:v>博远仪器仪表</x:v>
      </x:c>
      <x:c r="G27" s="8" t="str">
        <x:v>M8×30螺栓</x:v>
      </x:c>
      <x:c r="H27" s="8" t="str">
        <x:v>订单第64行；入库第260行</x:v>
      </x:c>
      <x:c r="I27" s="12" t="n">
        <x:v>144</x:v>
      </x:c>
      <x:c r="J27" s="12" t="n">
        <x:v>144</x:v>
      </x:c>
    </x:row>
    <x:row r="28" ht="25" customHeight="1">
      <x:c r="A28" s="8" t="str">
        <x:v>PO-2026-35540</x:v>
      </x:c>
      <x:c r="B28" s="8" t="str">
        <x:v>PO-2026-35540-01</x:v>
      </x:c>
      <x:c r="C28" s="11" t="n">
        <x:v>38570.35</x:v>
      </x:c>
      <x:c r="D28" s="11" t="n">
        <x:v>36460.55</x:v>
      </x:c>
      <x:c r="E28" s="11" t="n">
        <x:f>ROUND(D28-C28,2)</x:f>
        <x:v>-2109.8</x:v>
      </x:c>
      <x:c r="F28" s="8" t="str">
        <x:v>博远仪器仪表</x:v>
      </x:c>
      <x:c r="G28" s="8" t="str">
        <x:v>压力传感器</x:v>
      </x:c>
      <x:c r="H28" s="8" t="str">
        <x:v>订单第149行；入库第125行</x:v>
      </x:c>
      <x:c r="I28" s="12" t="n">
        <x:v>455</x:v>
      </x:c>
      <x:c r="J28" s="12" t="n">
        <x:v>455</x:v>
      </x:c>
    </x:row>
    <x:row r="29" ht="25" customHeight="1">
      <x:c r="A29" s="8" t="str">
        <x:v>PO-2026-39294</x:v>
      </x:c>
      <x:c r="B29" s="8" t="str">
        <x:v>PO-2026-39294-01</x:v>
      </x:c>
      <x:c r="C29" s="11" t="n">
        <x:v>9397.8</x:v>
      </x:c>
      <x:c r="D29" s="11" t="n">
        <x:v>8131.14</x:v>
      </x:c>
      <x:c r="E29" s="11" t="n">
        <x:f>ROUND(D29-C29,2)</x:f>
        <x:v>-1266.66</x:v>
      </x:c>
      <x:c r="F29" s="8" t="str">
        <x:v>金鹏电子科技</x:v>
      </x:c>
      <x:c r="G29" s="8" t="str">
        <x:v>密封垫圈</x:v>
      </x:c>
      <x:c r="H29" s="8" t="str">
        <x:v>订单第187行；入库第129行</x:v>
      </x:c>
      <x:c r="I29" s="12" t="n">
        <x:v>230</x:v>
      </x:c>
      <x:c r="J29" s="12" t="n">
        <x:v>199</x:v>
      </x:c>
    </x:row>
    <x:row r="30" ht="25" customHeight="1">
      <x:c r="A30" s="8" t="str">
        <x:v>PO-2026-41441</x:v>
      </x:c>
      <x:c r="B30" s="8" t="str">
        <x:v>PO-2026-41441-01</x:v>
      </x:c>
      <x:c r="C30" s="11" t="n">
        <x:v>6545.42</x:v>
      </x:c>
      <x:c r="D30" s="11" t="n">
        <x:v>7680.85</x:v>
      </x:c>
      <x:c r="E30" s="11" t="n">
        <x:f>ROUND(D30-C30,2)</x:f>
        <x:v>1135.43</x:v>
      </x:c>
      <x:c r="F30" s="8" t="str">
        <x:v>宏图液压设备</x:v>
      </x:c>
      <x:c r="G30" s="8" t="str">
        <x:v>接线端子排</x:v>
      </x:c>
      <x:c r="H30" s="8" t="str">
        <x:v>订单第287行；入库第5行</x:v>
      </x:c>
      <x:c r="I30" s="12" t="n">
        <x:v>98</x:v>
      </x:c>
      <x:c r="J30" s="12" t="n">
        <x:v>115</x:v>
      </x:c>
    </x:row>
  </x:sheetData>
  <x:conditionalFormatting sqref="E6:E30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609b7b0a8e495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19" hidden="0" customWidth="1"/>
    <x:col min="4" max="4" width="20" hidden="0" customWidth="1"/>
    <x:col min="5" max="5" width="20" hidden="0" customWidth="1"/>
    <x:col min="6" max="6" width="32" hidden="0" customWidth="1"/>
    <x:col min="7" max="7" width="4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未入库订单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4"/>
    </x:row>
    <x:row r="4" ht="25" customHeight="1">
      <x:c r="A4" s="2" t="str">
        <x:v>匹配结论仅针对本批提供的两份记录。</x:v>
      </x:c>
      <x:c r="B4" s="2"/>
      <x:c r="C4" s="2"/>
      <x:c r="D4" s="2"/>
      <x:c r="E4" s="2"/>
      <x:c r="F4" s="2"/>
      <x:c r="G4" s="2"/>
    </x:row>
    <x:row r="5" ht="30" customHeight="1">
      <x:c r="A5" s="7" t="str">
        <x:v>订单号</x:v>
      </x:c>
      <x:c r="B5" s="7" t="str">
        <x:v>供应商</x:v>
      </x:c>
      <x:c r="C5" s="7" t="str">
        <x:v>商品</x:v>
      </x:c>
      <x:c r="D5" s="7" t="str">
        <x:v>订单数量</x:v>
      </x:c>
      <x:c r="E5" s="7" t="str">
        <x:v>订单金额</x:v>
      </x:c>
      <x:c r="F5" s="7" t="str">
        <x:v>来源位置</x:v>
      </x:c>
      <x:c r="G5" s="7" t="str">
        <x:v>核对状态</x:v>
      </x:c>
    </x:row>
    <x:row r="6" ht="25" customHeight="1">
      <x:c r="A6" s="8" t="str">
        <x:v>PO-2026-10362</x:v>
      </x:c>
      <x:c r="B6" s="8" t="str">
        <x:v>中科新材料</x:v>
      </x:c>
      <x:c r="C6" s="8" t="str">
        <x:v>密封垫圈</x:v>
      </x:c>
      <x:c r="D6" s="12" t="n">
        <x:v>411</x:v>
      </x:c>
      <x:c r="E6" s="13" t="n">
        <x:v>11725.83</x:v>
      </x:c>
      <x:c r="F6" s="8" t="str">
        <x:v>采购订单.csv 第290行</x:v>
      </x:c>
      <x:c r="G6" s="8" t="str">
        <x:v>本批入库记录中未找到对应记录</x:v>
      </x:c>
    </x:row>
    <x:row r="7" ht="25" customHeight="1">
      <x:c r="A7" s="8" t="str">
        <x:v>PO-2026-10790</x:v>
      </x:c>
      <x:c r="B7" s="8" t="str">
        <x:v>瑞达化工材料</x:v>
      </x:c>
      <x:c r="C7" s="8" t="str">
        <x:v>PVC管材</x:v>
      </x:c>
      <x:c r="D7" s="12" t="n">
        <x:v>460</x:v>
      </x:c>
      <x:c r="E7" s="13" t="n">
        <x:v>21003.6</x:v>
      </x:c>
      <x:c r="F7" s="8" t="str">
        <x:v>采购订单.csv 第15行</x:v>
      </x:c>
      <x:c r="G7" s="8" t="str">
        <x:v>本批入库记录中未找到对应记录</x:v>
      </x:c>
    </x:row>
    <x:row r="8" ht="25" customHeight="1">
      <x:c r="A8" s="8" t="str">
        <x:v>PO-2026-13978</x:v>
      </x:c>
      <x:c r="B8" s="8" t="str">
        <x:v>东方精密零件</x:v>
      </x:c>
      <x:c r="C8" s="8" t="str">
        <x:v>PVC管材</x:v>
      </x:c>
      <x:c r="D8" s="12" t="n">
        <x:v>303</x:v>
      </x:c>
      <x:c r="E8" s="13" t="n">
        <x:v>20649.45</x:v>
      </x:c>
      <x:c r="F8" s="8" t="str">
        <x:v>采购订单.csv 第248行</x:v>
      </x:c>
      <x:c r="G8" s="8" t="str">
        <x:v>本批入库记录中未找到对应记录</x:v>
      </x:c>
    </x:row>
    <x:row r="9" ht="25" customHeight="1">
      <x:c r="A9" s="8" t="str">
        <x:v>PO-2026-14292</x:v>
      </x:c>
      <x:c r="B9" s="8" t="str">
        <x:v>宏图液压设备</x:v>
      </x:c>
      <x:c r="C9" s="8" t="str">
        <x:v>压力传感器</x:v>
      </x:c>
      <x:c r="D9" s="12" t="n">
        <x:v>82</x:v>
      </x:c>
      <x:c r="E9" s="13" t="n">
        <x:v>1315.28</x:v>
      </x:c>
      <x:c r="F9" s="8" t="str">
        <x:v>采购订单.csv 第74行</x:v>
      </x:c>
      <x:c r="G9" s="8" t="str">
        <x:v>本批入库记录中未找到对应记录</x:v>
      </x:c>
    </x:row>
    <x:row r="10" ht="25" customHeight="1">
      <x:c r="A10" s="8" t="str">
        <x:v>PO-2026-20763</x:v>
      </x:c>
      <x:c r="B10" s="8" t="str">
        <x:v>恒信钢铁贸易</x:v>
      </x:c>
      <x:c r="C10" s="8" t="str">
        <x:v>压力传感器</x:v>
      </x:c>
      <x:c r="D10" s="12" t="n">
        <x:v>420</x:v>
      </x:c>
      <x:c r="E10" s="13" t="n">
        <x:v>10193.4</x:v>
      </x:c>
      <x:c r="F10" s="8" t="str">
        <x:v>采购订单.csv 第286行</x:v>
      </x:c>
      <x:c r="G10" s="8" t="str">
        <x:v>本批入库记录中未找到对应记录</x:v>
      </x:c>
    </x:row>
    <x:row r="11" ht="25" customHeight="1">
      <x:c r="A11" s="8" t="str">
        <x:v>PO-2026-21181</x:v>
      </x:c>
      <x:c r="B11" s="8" t="str">
        <x:v>瑞达化工材料</x:v>
      </x:c>
      <x:c r="C11" s="8" t="str">
        <x:v>接线端子排</x:v>
      </x:c>
      <x:c r="D11" s="12" t="n">
        <x:v>286</x:v>
      </x:c>
      <x:c r="E11" s="13" t="n">
        <x:v>28222.48</x:v>
      </x:c>
      <x:c r="F11" s="8" t="str">
        <x:v>采购订单.csv 第115行</x:v>
      </x:c>
      <x:c r="G11" s="8" t="str">
        <x:v>本批入库记录中未找到对应记录</x:v>
      </x:c>
    </x:row>
    <x:row r="12" ht="25" customHeight="1">
      <x:c r="A12" s="8" t="str">
        <x:v>PO-2026-21915</x:v>
      </x:c>
      <x:c r="B12" s="8" t="str">
        <x:v>华盛五金制造</x:v>
      </x:c>
      <x:c r="C12" s="8" t="str">
        <x:v>不锈钢法兰</x:v>
      </x:c>
      <x:c r="D12" s="12" t="n">
        <x:v>96</x:v>
      </x:c>
      <x:c r="E12" s="13" t="n">
        <x:v>7835.52</x:v>
      </x:c>
      <x:c r="F12" s="8" t="str">
        <x:v>采购订单.csv 第140行</x:v>
      </x:c>
      <x:c r="G12" s="8" t="str">
        <x:v>本批入库记录中未找到对应记录</x:v>
      </x:c>
    </x:row>
    <x:row r="13" ht="25" customHeight="1">
      <x:c r="A13" s="8" t="str">
        <x:v>PO-2026-22200</x:v>
      </x:c>
      <x:c r="B13" s="8" t="str">
        <x:v>华盛五金制造</x:v>
      </x:c>
      <x:c r="C13" s="8" t="str">
        <x:v>LED灯珠</x:v>
      </x:c>
      <x:c r="D13" s="12" t="n">
        <x:v>486</x:v>
      </x:c>
      <x:c r="E13" s="13" t="n">
        <x:v>19017.18</x:v>
      </x:c>
      <x:c r="F13" s="8" t="str">
        <x:v>采购订单.csv 第2行</x:v>
      </x:c>
      <x:c r="G13" s="8" t="str">
        <x:v>本批入库记录中未找到对应记录</x:v>
      </x:c>
    </x:row>
    <x:row r="14" ht="25" customHeight="1">
      <x:c r="A14" s="8" t="str">
        <x:v>PO-2026-22237</x:v>
      </x:c>
      <x:c r="B14" s="8" t="str">
        <x:v>博远仪器仪表</x:v>
      </x:c>
      <x:c r="C14" s="8" t="str">
        <x:v>橡胶密封条</x:v>
      </x:c>
      <x:c r="D14" s="12" t="n">
        <x:v>287</x:v>
      </x:c>
      <x:c r="E14" s="13" t="n">
        <x:v>19748.47</x:v>
      </x:c>
      <x:c r="F14" s="8" t="str">
        <x:v>采购订单.csv 第34行</x:v>
      </x:c>
      <x:c r="G14" s="8" t="str">
        <x:v>本批入库记录中未找到对应记录</x:v>
      </x:c>
    </x:row>
    <x:row r="15" ht="25" customHeight="1">
      <x:c r="A15" s="8" t="str">
        <x:v>PO-2026-22599</x:v>
      </x:c>
      <x:c r="B15" s="8" t="str">
        <x:v>恒信钢铁贸易</x:v>
      </x:c>
      <x:c r="C15" s="8" t="str">
        <x:v>PVC管材</x:v>
      </x:c>
      <x:c r="D15" s="12" t="n">
        <x:v>193</x:v>
      </x:c>
      <x:c r="E15" s="13" t="n">
        <x:v>10047.58</x:v>
      </x:c>
      <x:c r="F15" s="8" t="str">
        <x:v>采购订单.csv 第102行</x:v>
      </x:c>
      <x:c r="G15" s="8" t="str">
        <x:v>本批入库记录中未找到对应记录</x:v>
      </x:c>
    </x:row>
    <x:row r="16" ht="25" customHeight="1">
      <x:c r="A16" s="8" t="str">
        <x:v>PO-2026-23671</x:v>
      </x:c>
      <x:c r="B16" s="8" t="str">
        <x:v>恒信钢铁贸易</x:v>
      </x:c>
      <x:c r="C16" s="8" t="str">
        <x:v>压力传感器</x:v>
      </x:c>
      <x:c r="D16" s="12" t="n">
        <x:v>261</x:v>
      </x:c>
      <x:c r="E16" s="13" t="n">
        <x:v>23641.38</x:v>
      </x:c>
      <x:c r="F16" s="8" t="str">
        <x:v>采购订单.csv 第225行</x:v>
      </x:c>
      <x:c r="G16" s="8" t="str">
        <x:v>本批入库记录中未找到对应记录</x:v>
      </x:c>
    </x:row>
    <x:row r="17" ht="25" customHeight="1">
      <x:c r="A17" s="8" t="str">
        <x:v>PO-2026-26219</x:v>
      </x:c>
      <x:c r="B17" s="8" t="str">
        <x:v>鑫源轴承厂</x:v>
      </x:c>
      <x:c r="C17" s="8" t="str">
        <x:v>弹簧垫片</x:v>
      </x:c>
      <x:c r="D17" s="12" t="n">
        <x:v>276</x:v>
      </x:c>
      <x:c r="E17" s="13" t="n">
        <x:v>22041.36</x:v>
      </x:c>
      <x:c r="F17" s="8" t="str">
        <x:v>采购订单.csv 第263行</x:v>
      </x:c>
      <x:c r="G17" s="8" t="str">
        <x:v>本批入库记录中未找到对应记录</x:v>
      </x:c>
    </x:row>
    <x:row r="18" ht="25" customHeight="1">
      <x:c r="A18" s="8" t="str">
        <x:v>PO-2026-26574</x:v>
      </x:c>
      <x:c r="B18" s="8" t="str">
        <x:v>利通包装材料</x:v>
      </x:c>
      <x:c r="C18" s="8" t="str">
        <x:v>压力传感器</x:v>
      </x:c>
      <x:c r="D18" s="12" t="n">
        <x:v>82</x:v>
      </x:c>
      <x:c r="E18" s="13" t="n">
        <x:v>6752.7</x:v>
      </x:c>
      <x:c r="F18" s="8" t="str">
        <x:v>采购订单.csv 第228行</x:v>
      </x:c>
      <x:c r="G18" s="8" t="str">
        <x:v>本批入库记录中未找到对应记录</x:v>
      </x:c>
    </x:row>
    <x:row r="19" ht="25" customHeight="1">
      <x:c r="A19" s="8" t="str">
        <x:v>PO-2026-29539</x:v>
      </x:c>
      <x:c r="B19" s="8" t="str">
        <x:v>东方精密零件</x:v>
      </x:c>
      <x:c r="C19" s="8" t="str">
        <x:v>电磁阀</x:v>
      </x:c>
      <x:c r="D19" s="12" t="n">
        <x:v>325</x:v>
      </x:c>
      <x:c r="E19" s="13" t="n">
        <x:v>12291.5</x:v>
      </x:c>
      <x:c r="F19" s="8" t="str">
        <x:v>采购订单.csv 第283行</x:v>
      </x:c>
      <x:c r="G19" s="8" t="str">
        <x:v>本批入库记录中未找到对应记录</x:v>
      </x:c>
    </x:row>
    <x:row r="20" ht="25" customHeight="1">
      <x:c r="A20" s="8" t="str">
        <x:v>PO-2026-29591</x:v>
      </x:c>
      <x:c r="B20" s="8" t="str">
        <x:v>瑞达化工材料</x:v>
      </x:c>
      <x:c r="C20" s="8" t="str">
        <x:v>PVC管材</x:v>
      </x:c>
      <x:c r="D20" s="12" t="n">
        <x:v>72</x:v>
      </x:c>
      <x:c r="E20" s="13" t="n">
        <x:v>6918.48</x:v>
      </x:c>
      <x:c r="F20" s="8" t="str">
        <x:v>采购订单.csv 第104行</x:v>
      </x:c>
      <x:c r="G20" s="8" t="str">
        <x:v>本批入库记录中未找到对应记录</x:v>
      </x:c>
    </x:row>
    <x:row r="21" ht="25" customHeight="1">
      <x:c r="A21" s="8" t="str">
        <x:v>PO-2026-32755</x:v>
      </x:c>
      <x:c r="B21" s="8" t="str">
        <x:v>恒信钢铁贸易</x:v>
      </x:c>
      <x:c r="C21" s="8" t="str">
        <x:v>密封垫圈</x:v>
      </x:c>
      <x:c r="D21" s="12" t="n">
        <x:v>271</x:v>
      </x:c>
      <x:c r="E21" s="13" t="n">
        <x:v>23490.28</x:v>
      </x:c>
      <x:c r="F21" s="8" t="str">
        <x:v>采购订单.csv 第249行</x:v>
      </x:c>
      <x:c r="G21" s="8" t="str">
        <x:v>本批入库记录中未找到对应记录</x:v>
      </x:c>
    </x:row>
    <x:row r="22" ht="25" customHeight="1">
      <x:c r="A22" s="8" t="str">
        <x:v>PO-2026-34050</x:v>
      </x:c>
      <x:c r="B22" s="8" t="str">
        <x:v>瑞达化工材料</x:v>
      </x:c>
      <x:c r="C22" s="8" t="str">
        <x:v>M8×30螺栓</x:v>
      </x:c>
      <x:c r="D22" s="12" t="n">
        <x:v>453</x:v>
      </x:c>
      <x:c r="E22" s="13" t="n">
        <x:v>11999.97</x:v>
      </x:c>
      <x:c r="F22" s="8" t="str">
        <x:v>采购订单.csv 第151行</x:v>
      </x:c>
      <x:c r="G22" s="8" t="str">
        <x:v>本批入库记录中未找到对应记录</x:v>
      </x:c>
    </x:row>
    <x:row r="23" ht="25" customHeight="1">
      <x:c r="A23" s="8" t="str">
        <x:v>PO-2026-39415</x:v>
      </x:c>
      <x:c r="B23" s="8" t="str">
        <x:v>中科新材料</x:v>
      </x:c>
      <x:c r="C23" s="8" t="str">
        <x:v>铝型材</x:v>
      </x:c>
      <x:c r="D23" s="12" t="n">
        <x:v>245</x:v>
      </x:c>
      <x:c r="E23" s="13" t="n">
        <x:v>17904.6</x:v>
      </x:c>
      <x:c r="F23" s="8" t="str">
        <x:v>采购订单.csv 第18行</x:v>
      </x:c>
      <x:c r="G23" s="8" t="str">
        <x:v>本批入库记录中未找到对应记录</x:v>
      </x:c>
    </x:row>
    <x:row r="24" ht="25" customHeight="1">
      <x:c r="A24" s="8" t="str">
        <x:v>PO-2026-40904</x:v>
      </x:c>
      <x:c r="B24" s="8" t="str">
        <x:v>宏图液压设备</x:v>
      </x:c>
      <x:c r="C24" s="8" t="str">
        <x:v>接线端子排</x:v>
      </x:c>
      <x:c r="D24" s="12" t="n">
        <x:v>164</x:v>
      </x:c>
      <x:c r="E24" s="13" t="n">
        <x:v>2845.4</x:v>
      </x:c>
      <x:c r="F24" s="8" t="str">
        <x:v>采购订单.csv 第180行</x:v>
      </x:c>
      <x:c r="G24" s="8" t="str">
        <x:v>本批入库记录中未找到对应记录</x:v>
      </x:c>
    </x:row>
    <x:row r="25" ht="25" customHeight="1">
      <x:c r="A25" s="8" t="str">
        <x:v>PO-2026-41773</x:v>
      </x:c>
      <x:c r="B25" s="8" t="str">
        <x:v>鑫源轴承厂</x:v>
      </x:c>
      <x:c r="C25" s="8" t="str">
        <x:v>压力传感器</x:v>
      </x:c>
      <x:c r="D25" s="12" t="n">
        <x:v>166</x:v>
      </x:c>
      <x:c r="E25" s="13" t="n">
        <x:v>4780.8</x:v>
      </x:c>
      <x:c r="F25" s="8" t="str">
        <x:v>采购订单.csv 第219行</x:v>
      </x:c>
      <x:c r="G25" s="8" t="str">
        <x:v>本批入库记录中未找到对应记录</x:v>
      </x:c>
    </x:row>
  </x:sheetData>
  <x:pageMargins left="0.7" right="0.7" top="0.75" bottom="0.75" header="0.3" footer="0.3"/>
  <x:tableParts count="1">
    <x:tablePart xmlns:r="http://schemas.openxmlformats.org/officeDocument/2006/relationships" r:id="R0b07e3c4a7fd48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19" hidden="0" customWidth="1"/>
    <x:col min="4" max="4" width="20" hidden="0" customWidth="1"/>
    <x:col min="5" max="5" width="20" hidden="0" customWidth="1"/>
    <x:col min="6" max="6" width="32" hidden="0" customWidth="1"/>
    <x:col min="7" max="7" width="4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无对应订单入库</x:v>
      </x:c>
      <x:c r="B2" s="2"/>
      <x:c r="C2" s="2"/>
      <x:c r="D2" s="2"/>
      <x:c r="E2" s="2"/>
      <x:c r="F2" s="2"/>
      <x:c r="G2" s="2"/>
    </x:row>
    <x:row r="3" ht="25" customHeight="1">
      <x:c r="A3" s="4"/>
      <x:c r="B3" s="4"/>
      <x:c r="C3" s="4"/>
      <x:c r="D3" s="4"/>
      <x:c r="E3" s="4"/>
      <x:c r="F3" s="4"/>
      <x:c r="G3" s="4"/>
    </x:row>
    <x:row r="4" ht="25" customHeight="1">
      <x:c r="A4" s="2" t="str">
        <x:v>匹配结论仅针对本批提供的两份记录。</x:v>
      </x:c>
      <x:c r="B4" s="2"/>
      <x:c r="C4" s="2"/>
      <x:c r="D4" s="2"/>
      <x:c r="E4" s="2"/>
      <x:c r="F4" s="2"/>
      <x:c r="G4" s="2"/>
    </x:row>
    <x:row r="5" ht="30" customHeight="1">
      <x:c r="A5" s="7" t="str">
        <x:v>入库单号</x:v>
      </x:c>
      <x:c r="B5" s="7" t="str">
        <x:v>供应商</x:v>
      </x:c>
      <x:c r="C5" s="7" t="str">
        <x:v>商品</x:v>
      </x:c>
      <x:c r="D5" s="7" t="str">
        <x:v>入库数量</x:v>
      </x:c>
      <x:c r="E5" s="7" t="str">
        <x:v>入库金额</x:v>
      </x:c>
      <x:c r="F5" s="7" t="str">
        <x:v>来源位置</x:v>
      </x:c>
      <x:c r="G5" s="7" t="str">
        <x:v>核对状态</x:v>
      </x:c>
    </x:row>
    <x:row r="6" ht="25" customHeight="1">
      <x:c r="A6" s="8" t="str">
        <x:v>PO-2026-26800-01</x:v>
      </x:c>
      <x:c r="B6" s="8" t="str">
        <x:v>中科新材料</x:v>
      </x:c>
      <x:c r="C6" s="8" t="str">
        <x:v>PVC管材</x:v>
      </x:c>
      <x:c r="D6" s="12" t="n">
        <x:v>190</x:v>
      </x:c>
      <x:c r="E6" s="13" t="n">
        <x:v>15376.7</x:v>
      </x:c>
      <x:c r="F6" s="8" t="str">
        <x:v>入库记录.csv 第109行</x:v>
      </x:c>
      <x:c r="G6" s="8" t="str">
        <x:v>本批采购订单中未找到对应订单</x:v>
      </x:c>
    </x:row>
    <x:row r="7" ht="25" customHeight="1">
      <x:c r="A7" s="8" t="str">
        <x:v>PO-2026-28009-01</x:v>
      </x:c>
      <x:c r="B7" s="8" t="str">
        <x:v>利通包装材料</x:v>
      </x:c>
      <x:c r="C7" s="8" t="str">
        <x:v>接线端子排</x:v>
      </x:c>
      <x:c r="D7" s="12" t="n">
        <x:v>186</x:v>
      </x:c>
      <x:c r="E7" s="13" t="n">
        <x:v>2691.42</x:v>
      </x:c>
      <x:c r="F7" s="8" t="str">
        <x:v>入库记录.csv 第40行</x:v>
      </x:c>
      <x:c r="G7" s="8" t="str">
        <x:v>本批采购订单中未找到对应订单</x:v>
      </x:c>
    </x:row>
    <x:row r="8" ht="25" customHeight="1">
      <x:c r="A8" s="8" t="str">
        <x:v>PO-2026-35450-01</x:v>
      </x:c>
      <x:c r="B8" s="8" t="str">
        <x:v>瑞达化工材料</x:v>
      </x:c>
      <x:c r="C8" s="8" t="str">
        <x:v>电磁阀</x:v>
      </x:c>
      <x:c r="D8" s="12" t="n">
        <x:v>242</x:v>
      </x:c>
      <x:c r="E8" s="13" t="n">
        <x:v>15328.28</x:v>
      </x:c>
      <x:c r="F8" s="8" t="str">
        <x:v>入库记录.csv 第215行</x:v>
      </x:c>
      <x:c r="G8" s="8" t="str">
        <x:v>本批采购订单中未找到对应订单</x:v>
      </x:c>
    </x:row>
    <x:row r="9" ht="25" customHeight="1">
      <x:c r="A9" s="8" t="str">
        <x:v>PO-2026-36959-01</x:v>
      </x:c>
      <x:c r="B9" s="8" t="str">
        <x:v>鑫源轴承厂</x:v>
      </x:c>
      <x:c r="C9" s="8" t="str">
        <x:v>减速机</x:v>
      </x:c>
      <x:c r="D9" s="12" t="n">
        <x:v>275</x:v>
      </x:c>
      <x:c r="E9" s="13" t="n">
        <x:v>20798.25</x:v>
      </x:c>
      <x:c r="F9" s="8" t="str">
        <x:v>入库记录.csv 第62行</x:v>
      </x:c>
      <x:c r="G9" s="8" t="str">
        <x:v>本批采购订单中未找到对应订单</x:v>
      </x:c>
    </x:row>
    <x:row r="10" ht="25" customHeight="1">
      <x:c r="A10" s="8" t="str">
        <x:v>PO-2026-41970-01</x:v>
      </x:c>
      <x:c r="B10" s="8" t="str">
        <x:v>华盛五金制造</x:v>
      </x:c>
      <x:c r="C10" s="8" t="str">
        <x:v>橡胶密封条</x:v>
      </x:c>
      <x:c r="D10" s="12" t="n">
        <x:v>160</x:v>
      </x:c>
      <x:c r="E10" s="13" t="n">
        <x:v>6856</x:v>
      </x:c>
      <x:c r="F10" s="8" t="str">
        <x:v>入库记录.csv 第131行</x:v>
      </x:c>
      <x:c r="G10" s="8" t="str">
        <x:v>本批采购订单中未找到对应订单</x:v>
      </x:c>
    </x:row>
  </x:sheetData>
  <x:pageMargins left="0.7" right="0.7" top="0.75" bottom="0.75" header="0.3" footer="0.3"/>
  <x:tableParts count="1">
    <x:tablePart xmlns:r="http://schemas.openxmlformats.org/officeDocument/2006/relationships" r:id="R6a2c4772f585414e"/>
  </x:tableParts>
</x:worksheet>
</file>