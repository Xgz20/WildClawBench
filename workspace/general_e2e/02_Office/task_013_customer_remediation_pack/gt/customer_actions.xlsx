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0d48f7d56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处置汇总" sheetId="1" r:id="R54da831d60074e7a"/>
    <x:sheet xmlns:r="http://schemas.openxmlformats.org/officeDocument/2006/relationships" name="逐台处置" sheetId="2" r:id="R181360c6f8ad490a"/>
    <x:sheet xmlns:r="http://schemas.openxmlformats.org/officeDocument/2006/relationships" name="履约安排" sheetId="3" r:id="R1f41016a41554475"/>
    <x:sheet xmlns:r="http://schemas.openxmlformats.org/officeDocument/2006/relationships" name="客户联络" sheetId="4" r:id="R931d905f0d00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452e542374ad4" /><Relationship Type="http://schemas.openxmlformats.org/officeDocument/2006/relationships/theme" Target="/xl/theme/theme1.xml" Id="Re556b0c1e4994ce9" /><Relationship Type="http://schemas.openxmlformats.org/officeDocument/2006/relationships/sharedStrings" Target="/xl/sharedStrings.xml" Id="R38ec8faa3b1a4c1b" /><Relationship Type="http://schemas.openxmlformats.org/officeDocument/2006/relationships/worksheet" Target="/xl/worksheets/sheet1.xml" Id="R54da831d60074e7a" /><Relationship Type="http://schemas.openxmlformats.org/officeDocument/2006/relationships/worksheet" Target="/xl/worksheets/sheet2.xml" Id="R181360c6f8ad490a" /><Relationship Type="http://schemas.openxmlformats.org/officeDocument/2006/relationships/worksheet" Target="/xl/worksheets/sheet3.xml" Id="R1f41016a41554475" /><Relationship Type="http://schemas.openxmlformats.org/officeDocument/2006/relationships/worksheet" Target="/xl/worksheets/sheet4.xml" Id="R931d905f0d00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24" customHeight="1">
      <x:c r="A1" s="3" t="str">
        <x:v>启曜客户处置台账 2026-10-30 18:00</x:v>
      </x:c>
      <x:c r="B1" s="2"/>
      <x:c r="C1" s="2"/>
      <x:c r="D1" s="2"/>
    </x:row>
    <x:row r="2" ht="24" customHeight="1">
      <x:c r="A2" s="2"/>
      <x:c r="B2" s="2"/>
      <x:c r="C2" s="2"/>
      <x:c r="D2" s="2"/>
    </x:row>
    <x:row r="3" ht="24" customHeight="1">
      <x:c r="A3" s="2"/>
      <x:c r="B3" s="2"/>
      <x:c r="C3" s="2"/>
      <x:c r="D3" s="2"/>
    </x:row>
    <x:row r="4" ht="30" customHeight="1">
      <x:c r="A4" s="7" t="str">
        <x:v>截止时点分类</x:v>
      </x:c>
      <x:c r="B4" s="7" t="str">
        <x:v>QY-A100</x:v>
      </x:c>
      <x:c r="C4" s="7" t="str">
        <x:v>QY-B200</x:v>
      </x:c>
      <x:c r="D4" s="7" t="str">
        <x:v>合计</x:v>
      </x:c>
    </x:row>
    <x:row r="5" ht="24" customHeight="1">
      <x:c r="A5" s="2" t="str">
        <x:v>客户侧受影响</x:v>
      </x:c>
      <x:c r="B5" s="2" t="n">
        <x:f>COUNTIFS(逐台处置!$E$5:$E$76,$A5,逐台处置!$B$5:$B$76,B$4)</x:f>
        <x:v>18</x:v>
      </x:c>
      <x:c r="C5" s="2" t="n">
        <x:f>COUNTIFS(逐台处置!$E$5:$E$76,$A5,逐台处置!$B$5:$B$76,C$4)</x:f>
        <x:v>18</x:v>
      </x:c>
      <x:c r="D5" s="2" t="n">
        <x:f>SUM(B5:C5)</x:f>
        <x:v>36</x:v>
      </x:c>
    </x:row>
    <x:row r="6" ht="24" customHeight="1">
      <x:c r="A6" s="2" t="str">
        <x:v>厂内隔离受影响</x:v>
      </x:c>
      <x:c r="B6" s="2" t="n">
        <x:f>COUNTIFS(逐台处置!$E$5:$E$76,$A6,逐台处置!$B$5:$B$76,B$4)</x:f>
        <x:v>3</x:v>
      </x:c>
      <x:c r="C6" s="2" t="n">
        <x:f>COUNTIFS(逐台处置!$E$5:$E$76,$A6,逐台处置!$B$5:$B$76,C$4)</x:f>
        <x:v>3</x:v>
      </x:c>
      <x:c r="D6" s="2" t="n">
        <x:f>SUM(B6:C6)</x:f>
        <x:v>6</x:v>
      </x:c>
    </x:row>
    <x:row r="7" ht="24" customHeight="1">
      <x:c r="A7" s="2" t="str">
        <x:v>本轮排除</x:v>
      </x:c>
      <x:c r="B7" s="2" t="n">
        <x:f>COUNTIFS(逐台处置!$E$5:$E$76,$A7,逐台处置!$B$5:$B$76,B$4)</x:f>
        <x:v>12</x:v>
      </x:c>
      <x:c r="C7" s="2" t="n">
        <x:f>COUNTIFS(逐台处置!$E$5:$E$76,$A7,逐台处置!$B$5:$B$76,C$4)</x:f>
        <x:v>12</x:v>
      </x:c>
      <x:c r="D7" s="2" t="n">
        <x:f>SUM(B7:C7)</x:f>
        <x:v>24</x:v>
      </x:c>
    </x:row>
    <x:row r="8" ht="24" customHeight="1">
      <x:c r="A8" s="2" t="str">
        <x:v>待核实</x:v>
      </x:c>
      <x:c r="B8" s="2" t="n">
        <x:f>COUNTIFS(逐台处置!$E$5:$E$76,$A8,逐台处置!$B$5:$B$76,B$4)</x:f>
        <x:v>3</x:v>
      </x:c>
      <x:c r="C8" s="2" t="n">
        <x:f>COUNTIFS(逐台处置!$E$5:$E$76,$A8,逐台处置!$B$5:$B$76,C$4)</x:f>
        <x:v>3</x:v>
      </x:c>
      <x:c r="D8" s="2" t="n">
        <x:f>SUM(B8:C8)</x:f>
        <x:v>6</x:v>
      </x:c>
    </x:row>
    <x:row r="9" ht="24" customHeight="1">
      <x:c r="A9" s="2" t="str">
        <x:v>合计</x:v>
      </x:c>
      <x:c r="B9" s="2" t="n">
        <x:f>SUM(B5:B8)</x:f>
        <x:v>36</x:v>
      </x:c>
      <x:c r="C9" s="2" t="n">
        <x:f>SUM(C5:C8)</x:f>
        <x:v>36</x:v>
      </x:c>
      <x:c r="D9" s="2" t="n">
        <x:f>SUM(D5:D8)</x:f>
        <x:v>72</x:v>
      </x:c>
    </x:row>
    <x:row r="10" ht="24" customHeight="1">
      <x:c r="A10" s="2" t="str">
        <x:v>在客户现场设备</x:v>
      </x:c>
      <x:c r="B10" s="2" t="n">
        <x:f>B9-B6</x:f>
        <x:v>33</x:v>
      </x:c>
      <x:c r="C10" s="2" t="n">
        <x:f>C9-C6</x:f>
        <x:v>33</x:v>
      </x:c>
      <x:c r="D10" s="2" t="n">
        <x:f>D9-D6</x:f>
        <x:v>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3" hidden="0" customWidth="1"/>
    <x:col min="4" max="4" width="26" hidden="0" customWidth="1"/>
    <x:col min="5" max="5" width="24" hidden="0" customWidth="1"/>
    <x:col min="6" max="6" width="22" hidden="0" customWidth="1"/>
    <x:col min="7" max="7" width="18" hidden="0" customWidth="1"/>
    <x:col min="8" max="8" width="33" hidden="0" customWidth="1"/>
    <x:col min="9" max="9" width="53" hidden="0" customWidth="1"/>
    <x:col min="10" max="10" width="61" hidden="0" customWidth="1"/>
    <x:col min="11" max="11" width="42" hidden="0" customWidth="1"/>
    <x:col min="12" max="12" width="62" hidden="0" customWidth="1"/>
    <x:col min="13" max="13" width="68" hidden="0" customWidth="1"/>
    <x:col min="14" max="14" width="43" hidden="0" customWidth="1"/>
    <x:col min="15" max="15" width="18" hidden="0" customWidth="1"/>
  </x:cols>
  <x:sheetData>
    <x:row r="1" ht="24" customHeight="1">
      <x:c r="A1" s="3" t="str">
        <x:v>逐台处置与证据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7" t="str">
        <x:v>整机SN</x:v>
      </x:c>
      <x:c r="B4" s="7" t="str">
        <x:v>型号</x:v>
      </x:c>
      <x:c r="C4" s="7" t="str">
        <x:v>客户号</x:v>
      </x:c>
      <x:c r="D4" s="7" t="str">
        <x:v>当前客户</x:v>
      </x:c>
      <x:c r="E4" s="7" t="str">
        <x:v>截止时点分类</x:v>
      </x:c>
      <x:c r="F4" s="7" t="str">
        <x:v>当前模组SN</x:v>
      </x:c>
      <x:c r="G4" s="7" t="str">
        <x:v>批次</x:v>
      </x:c>
      <x:c r="H4" s="7" t="str">
        <x:v>实物所在</x:v>
      </x:c>
      <x:c r="I4" s="7" t="str">
        <x:v>下一步动作</x:v>
      </x:c>
      <x:c r="J4" s="7" t="str">
        <x:v>参考履约安排</x:v>
      </x:c>
      <x:c r="K4" s="7" t="str">
        <x:v>通知路径</x:v>
      </x:c>
      <x:c r="L4" s="7" t="str">
        <x:v>依据单据</x:v>
      </x:c>
      <x:c r="M4" s="7" t="str">
        <x:v>关闭或排除证据</x:v>
      </x:c>
      <x:c r="N4" s="7" t="str">
        <x:v>新旧机关系</x:v>
      </x:c>
      <x:c r="O4" s="7" t="str">
        <x:v>现场更换数量</x:v>
      </x:c>
    </x:row>
    <x:row r="5" ht="80" customHeight="1">
      <x:c r="A5" s="2" t="str">
        <x:v>QY2600135</x:v>
      </x:c>
      <x:c r="B5" s="2" t="str">
        <x:v>QY-A100</x:v>
      </x:c>
      <x:c r="C5" s="2" t="str">
        <x:v>C14</x:v>
      </x:c>
      <x:c r="D5" s="2" t="str">
        <x:v>澄岳教育科技</x:v>
      </x:c>
      <x:c r="E5" s="2" t="str">
        <x:v>本轮排除</x:v>
      </x:c>
      <x:c r="F5" s="2" t="str">
        <x:v>M26352135</x:v>
      </x:c>
      <x:c r="G5" s="2" t="str">
        <x:v>MA2609</x:v>
      </x:c>
      <x:c r="H5" s="8" t="str">
        <x:v>澄岳教育科技会议区</x:v>
      </x:c>
      <x:c r="I5" s="8" t="str">
        <x:v>独立登记替换机的合格状态，不与返厂旧机相互抵销</x:v>
      </x:c>
      <x:c r="J5" s="8" t="str">
        <x:v>本轮不重复换件，关联旧机或拆件继续追踪</x:v>
      </x:c>
      <x:c r="K5" s="8" t="str">
        <x:v>直营客户经理</x:v>
      </x:c>
      <x:c r="L5" s="8" t="str">
        <x:v>PD-1068；CT-1068；QTR-261029-02；SV-1068-01</x:v>
      </x:c>
      <x:c r="M5" s="8" t="str">
        <x:v>保留排除依据；排除不等于关联事项已关闭</x:v>
      </x:c>
      <x:c r="N5" s="8" t="str">
        <x:v>替换机对应旧机QY2606211</x:v>
      </x:c>
      <x:c r="O5" s="2" t="n">
        <x:v>0</x:v>
      </x:c>
    </x:row>
    <x:row r="6" ht="80" customHeight="1">
      <x:c r="A6" s="2" t="str">
        <x:v>QY2603448</x:v>
      </x:c>
      <x:c r="B6" s="2" t="str">
        <x:v>QY-A100</x:v>
      </x:c>
      <x:c r="C6" s="2" t="str">
        <x:v>C07</x:v>
      </x:c>
      <x:c r="D6" s="2" t="str">
        <x:v>青禾园区运营</x:v>
      </x:c>
      <x:c r="E6" s="2" t="str">
        <x:v>客户侧受影响</x:v>
      </x:c>
      <x:c r="F6" s="2" t="str">
        <x:v>M26031990</x:v>
      </x:c>
      <x:c r="G6" s="2" t="str">
        <x:v>MA2607</x:v>
      </x:c>
      <x:c r="H6" s="8" t="str">
        <x:v>青禾园区运营会议区</x:v>
      </x:c>
      <x:c r="I6" s="8" t="str">
        <x:v>停止使用并更换合格模组</x:v>
      </x:c>
      <x:c r="J6" s="8" t="str">
        <x:v>10-31审批、备件实到检验后发；预计11-02到货，预约待定（2026年）</x:v>
      </x:c>
      <x:c r="K6" s="8" t="str">
        <x:v>直营客户经理</x:v>
      </x:c>
      <x:c r="L6" s="8" t="str">
        <x:v>PD-1007；CT-1007；QTR-261029-02；SV-1007-01；SV-1007-02</x:v>
      </x:c>
      <x:c r="M6" s="8" t="str">
        <x:v>换件SN绑定、合格件凭证、功能复测、客户验收、拆件隔离/处置证据齐备后逐台关闭</x:v>
      </x:c>
      <x:c r="N6" s="8" t="str"/>
      <x:c r="O6" s="2" t="n">
        <x:v>1</x:v>
      </x:c>
    </x:row>
    <x:row r="7" ht="80" customHeight="1">
      <x:c r="A7" s="2" t="str">
        <x:v>QY2603682</x:v>
      </x:c>
      <x:c r="B7" s="2" t="str">
        <x:v>QY-B200</x:v>
      </x:c>
      <x:c r="C7" s="2" t="str">
        <x:v>C06</x:v>
      </x:c>
      <x:c r="D7" s="2" t="str">
        <x:v>北辰数研中心</x:v>
      </x:c>
      <x:c r="E7" s="2" t="str">
        <x:v>客户侧受影响</x:v>
      </x:c>
      <x:c r="F7" s="2" t="str">
        <x:v>M26017409</x:v>
      </x:c>
      <x:c r="G7" s="2" t="str">
        <x:v>MB2607</x:v>
      </x:c>
      <x:c r="H7" s="8" t="str">
        <x:v>北辰数研中心会议区</x:v>
      </x:c>
      <x:c r="I7" s="8" t="str">
        <x:v>按截止时点停止使用并安排更换；截止后完工不倒写</x:v>
      </x:c>
      <x:c r="J7" s="8" t="str">
        <x:v>10-31审批、备件实到检验后发；预计11-02到货，预约待定（2026年）</x:v>
      </x:c>
      <x:c r="K7" s="8" t="str">
        <x:v>直营客户经理</x:v>
      </x:c>
      <x:c r="L7" s="8" t="str">
        <x:v>PD-1060；CT-1060；QTR-261029-02</x:v>
      </x:c>
      <x:c r="M7" s="8" t="str">
        <x:v>换件SN绑定、合格件凭证、功能复测、客户验收、拆件隔离/处置证据齐备后逐台关闭</x:v>
      </x:c>
      <x:c r="N7" s="8" t="str"/>
      <x:c r="O7" s="2" t="n">
        <x:v>1</x:v>
      </x:c>
    </x:row>
    <x:row r="8" ht="80" customHeight="1">
      <x:c r="A8" s="2" t="str">
        <x:v>QY2606211</x:v>
      </x:c>
      <x:c r="B8" s="2" t="str">
        <x:v>QY-A100</x:v>
      </x:c>
      <x:c r="C8" s="2" t="str">
        <x:v>C14</x:v>
      </x:c>
      <x:c r="D8" s="2" t="str">
        <x:v>澄岳教育科技</x:v>
      </x:c>
      <x:c r="E8" s="2" t="str">
        <x:v>厂内隔离受影响</x:v>
      </x:c>
      <x:c r="F8" s="2" t="str">
        <x:v>M26893032</x:v>
      </x:c>
      <x:c r="G8" s="2" t="str">
        <x:v>MA2607</x:v>
      </x:c>
      <x:c r="H8" s="8" t="str">
        <x:v>启曜返厂隔离区</x:v>
      </x:c>
      <x:c r="I8" s="8" t="str">
        <x:v>维持厂内隔离，核实内部备件和质检后处置；不得按报废结案</x:v>
      </x:c>
      <x:c r="J8" s="8" t="str">
        <x:v>保持隔离；11/06以后、内部库存及质检确认后处置</x:v>
      </x:c>
      <x:c r="K8" s="8" t="str">
        <x:v>厂内服务主管及客户经理同步</x:v>
      </x:c>
      <x:c r="L8" s="8" t="str">
        <x:v>PD-1032；CT-1032；QTR-261029-02；SV-1032-01；SV-1032-02</x:v>
      </x:c>
      <x:c r="M8" s="8" t="str">
        <x:v>隔离台账、内部修复/复测及质量放行，或报废批准和处置凭证；未实际处置不结案</x:v>
      </x:c>
      <x:c r="N8" s="8" t="str">
        <x:v>另有独立替换机QY2600135</x:v>
      </x:c>
      <x:c r="O8" s="2" t="n">
        <x:v>0</x:v>
      </x:c>
    </x:row>
    <x:row r="9" ht="80" customHeight="1">
      <x:c r="A9" s="2" t="str">
        <x:v>QY2606736</x:v>
      </x:c>
      <x:c r="B9" s="2" t="str">
        <x:v>QY-A100</x:v>
      </x:c>
      <x:c r="C9" s="2" t="str">
        <x:v>C02</x:v>
      </x:c>
      <x:c r="D9" s="2" t="str">
        <x:v>临浦科创园</x:v>
      </x:c>
      <x:c r="E9" s="2" t="str">
        <x:v>客户侧受影响</x:v>
      </x:c>
      <x:c r="F9" s="2" t="str">
        <x:v>M26257557</x:v>
      </x:c>
      <x:c r="G9" s="2" t="str">
        <x:v>MA2607</x:v>
      </x:c>
      <x:c r="H9" s="8" t="str">
        <x:v>临浦科创园会议区</x:v>
      </x:c>
      <x:c r="I9" s="8" t="str">
        <x:v>按截止时点停止使用并安排更换；截止后完工不倒写</x:v>
      </x:c>
      <x:c r="J9" s="8" t="str">
        <x:v>10-31审批、备件实到检验后发；预计11-02到货，预约待定（2026年）</x:v>
      </x:c>
      <x:c r="K9" s="8" t="str">
        <x:v>直营客户经理</x:v>
      </x:c>
      <x:c r="L9" s="8" t="str">
        <x:v>PD-1056；CT-1056；QTR-261029-02</x:v>
      </x:c>
      <x:c r="M9" s="8" t="str">
        <x:v>换件SN绑定、合格件凭证、功能复测、客户验收、拆件隔离/处置证据齐备后逐台关闭</x:v>
      </x:c>
      <x:c r="N9" s="8" t="str"/>
      <x:c r="O9" s="2" t="n">
        <x:v>1</x:v>
      </x:c>
    </x:row>
    <x:row r="10" ht="80" customHeight="1">
      <x:c r="A10" s="2" t="str">
        <x:v>QY2608031</x:v>
      </x:c>
      <x:c r="B10" s="2" t="str">
        <x:v>QY-B200</x:v>
      </x:c>
      <x:c r="C10" s="2" t="str">
        <x:v>C12</x:v>
      </x:c>
      <x:c r="D10" s="2" t="str">
        <x:v>知行远程培训</x:v>
      </x:c>
      <x:c r="E10" s="2" t="str">
        <x:v>客户侧受影响</x:v>
      </x:c>
      <x:c r="F10" s="2" t="str">
        <x:v>M26429637</x:v>
      </x:c>
      <x:c r="G10" s="2" t="str">
        <x:v>MB2607</x:v>
      </x:c>
      <x:c r="H10" s="8" t="str">
        <x:v>知行远程培训会议区</x:v>
      </x:c>
      <x:c r="I10" s="8" t="str">
        <x:v>停止使用并更换合格模组；追溯周转来源</x:v>
      </x:c>
      <x:c r="J10" s="8" t="str">
        <x:v>10-31审批、备件实到检验后发；预计11-02到货，预约待定（2026年）</x:v>
      </x:c>
      <x:c r="K10" s="8" t="str">
        <x:v>直营客户经理</x:v>
      </x:c>
      <x:c r="L10" s="8" t="str">
        <x:v>PD-1030；CT-1030；QTR-261029-02；SV-1030-01；SV-1030-02；TR-1030</x:v>
      </x:c>
      <x:c r="M10" s="8" t="str">
        <x:v>换件SN绑定、合格件凭证、功能复测、客户验收、拆件隔离/处置证据齐备后逐台关闭</x:v>
      </x:c>
      <x:c r="N10" s="8" t="str"/>
      <x:c r="O10" s="2" t="n">
        <x:v>1</x:v>
      </x:c>
    </x:row>
    <x:row r="11" ht="80" customHeight="1">
      <x:c r="A11" s="2" t="str">
        <x:v>QY2610891</x:v>
      </x:c>
      <x:c r="B11" s="2" t="str">
        <x:v>QY-A100</x:v>
      </x:c>
      <x:c r="C11" s="2" t="str">
        <x:v>C03</x:v>
      </x:c>
      <x:c r="D11" s="2" t="str">
        <x:v>海澄设计中心</x:v>
      </x:c>
      <x:c r="E11" s="2" t="str">
        <x:v>客户侧受影响</x:v>
      </x:c>
      <x:c r="F11" s="2" t="str">
        <x:v>M26088090</x:v>
      </x:c>
      <x:c r="G11" s="2" t="str">
        <x:v>MA2607</x:v>
      </x:c>
      <x:c r="H11" s="8" t="str">
        <x:v>海澄设计中心会议区</x:v>
      </x:c>
      <x:c r="I11" s="8" t="str">
        <x:v>停止使用并更换合格模组；领料不代表安装完成</x:v>
      </x:c>
      <x:c r="J11" s="8" t="str">
        <x:v>10-31审批、备件实到检验后发；预计11-02到货，预约待定（2026年）</x:v>
      </x:c>
      <x:c r="K11" s="8" t="str">
        <x:v>直营客户经理</x:v>
      </x:c>
      <x:c r="L11" s="8" t="str">
        <x:v>PD-1003；CT-1003；QTR-261029-02；SV-1003-01；SV-1003-02</x:v>
      </x:c>
      <x:c r="M11" s="8" t="str">
        <x:v>换件SN绑定、合格件凭证、功能复测、客户验收、拆件隔离/处置证据齐备后逐台关闭</x:v>
      </x:c>
      <x:c r="N11" s="8" t="str"/>
      <x:c r="O11" s="2" t="n">
        <x:v>1</x:v>
      </x:c>
    </x:row>
    <x:row r="12" ht="80" customHeight="1">
      <x:c r="A12" s="2" t="str">
        <x:v>QY2613261</x:v>
      </x:c>
      <x:c r="B12" s="2" t="str">
        <x:v>QY-A100</x:v>
      </x:c>
      <x:c r="C12" s="2" t="str">
        <x:v>C08</x:v>
      </x:c>
      <x:c r="D12" s="2" t="str">
        <x:v>鸿屿咨询</x:v>
      </x:c>
      <x:c r="E12" s="2" t="str">
        <x:v>客户侧受影响</x:v>
      </x:c>
      <x:c r="F12" s="2" t="str">
        <x:v>M26827244</x:v>
      </x:c>
      <x:c r="G12" s="2" t="str">
        <x:v>MA2607</x:v>
      </x:c>
      <x:c r="H12" s="8" t="str">
        <x:v>鸿屿咨询会议区</x:v>
      </x:c>
      <x:c r="I12" s="8" t="str">
        <x:v>停止使用并更换合格模组</x:v>
      </x:c>
      <x:c r="J12" s="8" t="str">
        <x:v>10-31审批、备件实到检验后发；预计11-02到货，预约待定（2026年）</x:v>
      </x:c>
      <x:c r="K12" s="8" t="str">
        <x:v>直营客户经理</x:v>
      </x:c>
      <x:c r="L12" s="8" t="str">
        <x:v>PD-1008；CT-1008；QTR-261029-02；SV-1008-01；SV-1008-02</x:v>
      </x:c>
      <x:c r="M12" s="8" t="str">
        <x:v>换件SN绑定、合格件凭证、功能复测、客户验收、拆件隔离/处置证据齐备后逐台关闭</x:v>
      </x:c>
      <x:c r="N12" s="8" t="str"/>
      <x:c r="O12" s="2" t="n">
        <x:v>1</x:v>
      </x:c>
    </x:row>
    <x:row r="13" ht="80" customHeight="1">
      <x:c r="A13" s="2" t="str">
        <x:v>QY2613817</x:v>
      </x:c>
      <x:c r="B13" s="2" t="str">
        <x:v>QY-A100</x:v>
      </x:c>
      <x:c r="C13" s="2" t="str">
        <x:v>C15</x:v>
      </x:c>
      <x:c r="D13" s="2" t="str">
        <x:v>观澜会务管理</x:v>
      </x:c>
      <x:c r="E13" s="2" t="str">
        <x:v>本轮排除</x:v>
      </x:c>
      <x:c r="F13" s="2" t="str">
        <x:v>M26045488</x:v>
      </x:c>
      <x:c r="G13" s="2" t="str">
        <x:v>MA2609</x:v>
      </x:c>
      <x:c r="H13" s="8" t="str">
        <x:v>观澜会务管理会议区</x:v>
      </x:c>
      <x:c r="I13" s="8" t="str">
        <x:v>保留已换合格及验收依据，本轮不重复换件</x:v>
      </x:c>
      <x:c r="J13" s="8" t="str">
        <x:v>本轮不重复换件，关联旧机或拆件继续追踪</x:v>
      </x:c>
      <x:c r="K13" s="8" t="str">
        <x:v>直营客户经理</x:v>
      </x:c>
      <x:c r="L13" s="8" t="str">
        <x:v>PD-1015；CT-1015；QTR-261029-02；SV-1015-01；SV-1015-02</x:v>
      </x:c>
      <x:c r="M13" s="8" t="str">
        <x:v>保留排除依据；排除不等于关联事项已关闭</x:v>
      </x:c>
      <x:c r="N13" s="8" t="str"/>
      <x:c r="O13" s="2" t="n">
        <x:v>0</x:v>
      </x:c>
    </x:row>
    <x:row r="14" ht="80" customHeight="1">
      <x:c r="A14" s="2" t="str">
        <x:v>QY2615434</x:v>
      </x:c>
      <x:c r="B14" s="2" t="str">
        <x:v>QY-B200</x:v>
      </x:c>
      <x:c r="C14" s="2" t="str">
        <x:v>C17</x:v>
      </x:c>
      <x:c r="D14" s="2" t="str">
        <x:v>启明创研中心</x:v>
      </x:c>
      <x:c r="E14" s="2" t="str">
        <x:v>本轮排除</x:v>
      </x:c>
      <x:c r="F14" s="2" t="str">
        <x:v>M26059734</x:v>
      </x:c>
      <x:c r="G14" s="2" t="str">
        <x:v>MB2609</x:v>
      </x:c>
      <x:c r="H14" s="8" t="str">
        <x:v>启明创研中心会议区</x:v>
      </x:c>
      <x:c r="I14" s="8" t="str">
        <x:v>独立登记替换机的合格状态，不与返厂旧机相互抵销</x:v>
      </x:c>
      <x:c r="J14" s="8" t="str">
        <x:v>本轮不重复换件，关联旧机或拆件继续追踪</x:v>
      </x:c>
      <x:c r="K14" s="8" t="str">
        <x:v>直营客户经理</x:v>
      </x:c>
      <x:c r="L14" s="8" t="str">
        <x:v>PD-1071；CT-1071；QTR-261029-02；SV-1071-01</x:v>
      </x:c>
      <x:c r="M14" s="8" t="str">
        <x:v>保留排除依据；排除不等于关联事项已关闭</x:v>
      </x:c>
      <x:c r="N14" s="8" t="str">
        <x:v>替换机对应旧机QY2633791</x:v>
      </x:c>
      <x:c r="O14" s="2" t="n">
        <x:v>0</x:v>
      </x:c>
    </x:row>
    <x:row r="15" ht="80" customHeight="1">
      <x:c r="A15" s="2" t="str">
        <x:v>QY2615472</x:v>
      </x:c>
      <x:c r="B15" s="2" t="str">
        <x:v>QY-A100</x:v>
      </x:c>
      <x:c r="C15" s="2" t="str">
        <x:v>C09</x:v>
      </x:c>
      <x:c r="D15" s="2" t="str">
        <x:v>映河文化交流</x:v>
      </x:c>
      <x:c r="E15" s="2" t="str">
        <x:v>客户侧受影响</x:v>
      </x:c>
      <x:c r="F15" s="2" t="str">
        <x:v>M26794380</x:v>
      </x:c>
      <x:c r="G15" s="2" t="str">
        <x:v>MA2607</x:v>
      </x:c>
      <x:c r="H15" s="8" t="str">
        <x:v>映河文化交流会议区</x:v>
      </x:c>
      <x:c r="I15" s="8" t="str">
        <x:v>停止使用并更换合格模组；追溯周转来源</x:v>
      </x:c>
      <x:c r="J15" s="8" t="str">
        <x:v>10-31审批、备件实到检验后发；预计11-02到货，预约待定（2026年）</x:v>
      </x:c>
      <x:c r="K15" s="8" t="str">
        <x:v>直营客户经理</x:v>
      </x:c>
      <x:c r="L15" s="8" t="str">
        <x:v>PD-1027；CT-1027；QTR-261029-02；SV-1027-01；SV-1027-02；TR-1027</x:v>
      </x:c>
      <x:c r="M15" s="8" t="str">
        <x:v>换件SN绑定、合格件凭证、功能复测、客户验收、拆件隔离/处置证据齐备后逐台关闭</x:v>
      </x:c>
      <x:c r="N15" s="8" t="str"/>
      <x:c r="O15" s="2" t="n">
        <x:v>1</x:v>
      </x:c>
    </x:row>
    <x:row r="16" ht="80" customHeight="1">
      <x:c r="A16" s="2" t="str">
        <x:v>QY2615719</x:v>
      </x:c>
      <x:c r="B16" s="2" t="str">
        <x:v>QY-A100</x:v>
      </x:c>
      <x:c r="C16" s="2" t="str">
        <x:v>C13</x:v>
      </x:c>
      <x:c r="D16" s="2" t="str">
        <x:v>锦棠商务服务</x:v>
      </x:c>
      <x:c r="E16" s="2" t="str">
        <x:v>本轮排除</x:v>
      </x:c>
      <x:c r="F16" s="2" t="str">
        <x:v>M26642946</x:v>
      </x:c>
      <x:c r="G16" s="2" t="str">
        <x:v>MA2607</x:v>
      </x:c>
      <x:c r="H16" s="8" t="str">
        <x:v>锦棠商务服务会议区</x:v>
      </x:c>
      <x:c r="I16" s="8" t="str">
        <x:v>保留R3返工及复测依据，本轮排除</x:v>
      </x:c>
      <x:c r="J16" s="8" t="str">
        <x:v>本轮不重复换件，关联旧机或拆件继续追踪</x:v>
      </x:c>
      <x:c r="K16" s="8" t="str">
        <x:v>直营客户经理</x:v>
      </x:c>
      <x:c r="L16" s="8" t="str">
        <x:v>PD-1049；CT-1049；QTR-261029-02；RW-1049；QC-1049</x:v>
      </x:c>
      <x:c r="M16" s="8" t="str">
        <x:v>保留排除依据；排除不等于关联事项已关闭</x:v>
      </x:c>
      <x:c r="N16" s="8" t="str"/>
      <x:c r="O16" s="2" t="n">
        <x:v>0</x:v>
      </x:c>
    </x:row>
    <x:row r="17" ht="80" customHeight="1">
      <x:c r="A17" s="2" t="str">
        <x:v>QY2616976</x:v>
      </x:c>
      <x:c r="B17" s="2" t="str">
        <x:v>QY-B200</x:v>
      </x:c>
      <x:c r="C17" s="2" t="str">
        <x:v>C11</x:v>
      </x:c>
      <x:c r="D17" s="2" t="str">
        <x:v>东麓创新中心</x:v>
      </x:c>
      <x:c r="E17" s="2" t="str">
        <x:v>客户侧受影响</x:v>
      </x:c>
      <x:c r="F17" s="2" t="str">
        <x:v>M26014051</x:v>
      </x:c>
      <x:c r="G17" s="2" t="str">
        <x:v>MB2607</x:v>
      </x:c>
      <x:c r="H17" s="8" t="str">
        <x:v>东麓创新中心会议区</x:v>
      </x:c>
      <x:c r="I17" s="8" t="str">
        <x:v>停止使用并更换合格模组；追溯周转来源</x:v>
      </x:c>
      <x:c r="J17" s="8" t="str">
        <x:v>10-31审批、备件实到检验后发；预计11-02到货，预约待定（2026年）</x:v>
      </x:c>
      <x:c r="K17" s="8" t="str">
        <x:v>直营客户经理</x:v>
      </x:c>
      <x:c r="L17" s="8" t="str">
        <x:v>PD-1029；CT-1029；QTR-261029-02；SV-1029-01；SV-1029-02；TR-1029</x:v>
      </x:c>
      <x:c r="M17" s="8" t="str">
        <x:v>换件SN绑定、合格件凭证、功能复测、客户验收、拆件隔离/处置证据齐备后逐台关闭</x:v>
      </x:c>
      <x:c r="N17" s="8" t="str"/>
      <x:c r="O17" s="2" t="n">
        <x:v>1</x:v>
      </x:c>
    </x:row>
    <x:row r="18" ht="80" customHeight="1">
      <x:c r="A18" s="2" t="str">
        <x:v>QY2617044</x:v>
      </x:c>
      <x:c r="B18" s="2" t="str">
        <x:v>QY-A100</x:v>
      </x:c>
      <x:c r="C18" s="2" t="str">
        <x:v>C05</x:v>
      </x:c>
      <x:c r="D18" s="2" t="str">
        <x:v>云岚会议服务</x:v>
      </x:c>
      <x:c r="E18" s="2" t="str">
        <x:v>客户侧受影响</x:v>
      </x:c>
      <x:c r="F18" s="2" t="str">
        <x:v>M26078108</x:v>
      </x:c>
      <x:c r="G18" s="2" t="str">
        <x:v>MA2607</x:v>
      </x:c>
      <x:c r="H18" s="8" t="str">
        <x:v>云岚会议服务会议区</x:v>
      </x:c>
      <x:c r="I18" s="8" t="str">
        <x:v>原机隔离停止业务，仅授权备用端维持服务；仍须安排永久换件</x:v>
      </x:c>
      <x:c r="J18" s="8" t="str">
        <x:v>10-31审批、备件实到检验后发；预计11-02到货，预约待定（2026年）</x:v>
      </x:c>
      <x:c r="K18" s="8" t="str">
        <x:v>直营客户经理</x:v>
      </x:c>
      <x:c r="L18" s="8" t="str">
        <x:v>PD-1043；CT-1043；QTR-261029-02；SV-1043-01</x:v>
      </x:c>
      <x:c r="M18" s="8" t="str">
        <x:v>换件SN绑定、合格件凭证、功能复测、客户验收、拆件隔离/处置证据齐备后逐台关闭</x:v>
      </x:c>
      <x:c r="N18" s="8" t="str"/>
      <x:c r="O18" s="2" t="n">
        <x:v>1</x:v>
      </x:c>
    </x:row>
    <x:row r="19" ht="80" customHeight="1">
      <x:c r="A19" s="2" t="str">
        <x:v>QY2617455</x:v>
      </x:c>
      <x:c r="B19" s="2" t="str">
        <x:v>QY-B200</x:v>
      </x:c>
      <x:c r="C19" s="2" t="str">
        <x:v>C18</x:v>
      </x:c>
      <x:c r="D19" s="2" t="str">
        <x:v>云岸协作空间</x:v>
      </x:c>
      <x:c r="E19" s="2" t="str">
        <x:v>厂内隔离受影响</x:v>
      </x:c>
      <x:c r="F19" s="2" t="str">
        <x:v>M26940163</x:v>
      </x:c>
      <x:c r="G19" s="2" t="str">
        <x:v>MB2607</x:v>
      </x:c>
      <x:c r="H19" s="8" t="str">
        <x:v>启曜返厂隔离区</x:v>
      </x:c>
      <x:c r="I19" s="8" t="str">
        <x:v>维持厂内隔离，核实内部备件和质检后处置；不得按报废结案</x:v>
      </x:c>
      <x:c r="J19" s="8" t="str">
        <x:v>保持隔离；11/06以后、内部库存及质检确认后处置</x:v>
      </x:c>
      <x:c r="K19" s="8" t="str">
        <x:v>厂内服务主管及客户经理同步</x:v>
      </x:c>
      <x:c r="L19" s="8" t="str">
        <x:v>PD-1036；CT-1036；QTR-261029-02；SV-1036-01；SV-1036-02</x:v>
      </x:c>
      <x:c r="M19" s="8" t="str">
        <x:v>隔离台账、内部修复/复测及质量放行，或报废批准和处置凭证；未实际处置不结案</x:v>
      </x:c>
      <x:c r="N19" s="8" t="str">
        <x:v>另有独立替换机QY2664939</x:v>
      </x:c>
      <x:c r="O19" s="2" t="n">
        <x:v>0</x:v>
      </x:c>
    </x:row>
    <x:row r="20" ht="80" customHeight="1">
      <x:c r="A20" s="2" t="str">
        <x:v>QY2618221</x:v>
      </x:c>
      <x:c r="B20" s="2" t="str">
        <x:v>QY-B200</x:v>
      </x:c>
      <x:c r="C20" s="2" t="str">
        <x:v>C05</x:v>
      </x:c>
      <x:c r="D20" s="2" t="str">
        <x:v>云岚会议服务</x:v>
      </x:c>
      <x:c r="E20" s="2" t="str">
        <x:v>客户侧受影响</x:v>
      </x:c>
      <x:c r="F20" s="2" t="str">
        <x:v>M26540270</x:v>
      </x:c>
      <x:c r="G20" s="2" t="str">
        <x:v>MB2607</x:v>
      </x:c>
      <x:c r="H20" s="8" t="str">
        <x:v>云岚会议服务会议区</x:v>
      </x:c>
      <x:c r="I20" s="8" t="str">
        <x:v>按截止时点停止使用并安排更换；截止后完工不倒写</x:v>
      </x:c>
      <x:c r="J20" s="8" t="str">
        <x:v>10-31审批、备件实到检验后发；预计11-02到货，预约待定（2026年）</x:v>
      </x:c>
      <x:c r="K20" s="8" t="str">
        <x:v>直营客户经理</x:v>
      </x:c>
      <x:c r="L20" s="8" t="str">
        <x:v>PD-1059；CT-1059；QTR-261029-02</x:v>
      </x:c>
      <x:c r="M20" s="8" t="str">
        <x:v>换件SN绑定、合格件凭证、功能复测、客户验收、拆件隔离/处置证据齐备后逐台关闭</x:v>
      </x:c>
      <x:c r="N20" s="8" t="str"/>
      <x:c r="O20" s="2" t="n">
        <x:v>1</x:v>
      </x:c>
    </x:row>
    <x:row r="21" ht="80" customHeight="1">
      <x:c r="A21" s="2" t="str">
        <x:v>QY2621337</x:v>
      </x:c>
      <x:c r="B21" s="2" t="str">
        <x:v>QY-A100</x:v>
      </x:c>
      <x:c r="C21" s="2" t="str">
        <x:v>C07</x:v>
      </x:c>
      <x:c r="D21" s="2" t="str">
        <x:v>青禾园区运营</x:v>
      </x:c>
      <x:c r="E21" s="2" t="str">
        <x:v>客户侧受影响</x:v>
      </x:c>
      <x:c r="F21" s="2" t="str">
        <x:v>M26009722</x:v>
      </x:c>
      <x:c r="G21" s="2" t="str">
        <x:v>MA2607</x:v>
      </x:c>
      <x:c r="H21" s="8" t="str">
        <x:v>青禾园区运营会议区</x:v>
      </x:c>
      <x:c r="I21" s="8" t="str">
        <x:v>通过D02联系现持有人停用换件，取得逐台转达回执</x:v>
      </x:c>
      <x:c r="J21" s="8" t="str">
        <x:v>10-31审批、备件实到检验后发；预计11-02到货，预约待定（2026年）</x:v>
      </x:c>
      <x:c r="K21" s="8" t="str">
        <x:v>D02渠道转达并回收现持有人逐台确认</x:v>
      </x:c>
      <x:c r="L21" s="8" t="str">
        <x:v>PD-1061；CT-1061；QTR-261029-02；CH-1061</x:v>
      </x:c>
      <x:c r="M21" s="8" t="str">
        <x:v>换件SN绑定、合格件凭证、功能复测、客户验收、拆件隔离/处置证据齐备后逐台关闭</x:v>
      </x:c>
      <x:c r="N21" s="8" t="str"/>
      <x:c r="O21" s="2" t="n">
        <x:v>1</x:v>
      </x:c>
    </x:row>
    <x:row r="22" ht="80" customHeight="1">
      <x:c r="A22" s="2" t="str">
        <x:v>QY2622123</x:v>
      </x:c>
      <x:c r="B22" s="2" t="str">
        <x:v>QY-A100</x:v>
      </x:c>
      <x:c r="C22" s="2" t="str">
        <x:v>C07</x:v>
      </x:c>
      <x:c r="D22" s="2" t="str">
        <x:v>青禾园区运营</x:v>
      </x:c>
      <x:c r="E22" s="2" t="str">
        <x:v>客户侧受影响</x:v>
      </x:c>
      <x:c r="F22" s="2" t="str">
        <x:v>M26330676</x:v>
      </x:c>
      <x:c r="G22" s="2" t="str">
        <x:v>MA2607</x:v>
      </x:c>
      <x:c r="H22" s="8" t="str">
        <x:v>青禾园区运营会议区</x:v>
      </x:c>
      <x:c r="I22" s="8" t="str">
        <x:v>停止使用并更换合格模组；追溯周转来源</x:v>
      </x:c>
      <x:c r="J22" s="8" t="str">
        <x:v>10-31审批、备件实到检验后发；预计11-02到货，预约待定（2026年）</x:v>
      </x:c>
      <x:c r="K22" s="8" t="str">
        <x:v>直营客户经理</x:v>
      </x:c>
      <x:c r="L22" s="8" t="str">
        <x:v>PD-1025；CT-1025；QTR-261029-02；SV-1025-01；SV-1025-02；TR-1025</x:v>
      </x:c>
      <x:c r="M22" s="8" t="str">
        <x:v>换件SN绑定、合格件凭证、功能复测、客户验收、拆件隔离/处置证据齐备后逐台关闭</x:v>
      </x:c>
      <x:c r="N22" s="8" t="str"/>
      <x:c r="O22" s="2" t="n">
        <x:v>1</x:v>
      </x:c>
    </x:row>
    <x:row r="23" ht="80" customHeight="1">
      <x:c r="A23" s="2" t="str">
        <x:v>QY2622658</x:v>
      </x:c>
      <x:c r="B23" s="2" t="str">
        <x:v>QY-B200</x:v>
      </x:c>
      <x:c r="C23" s="2" t="str">
        <x:v>C12</x:v>
      </x:c>
      <x:c r="D23" s="2" t="str">
        <x:v>知行远程培训</x:v>
      </x:c>
      <x:c r="E23" s="2" t="str">
        <x:v>客户侧受影响</x:v>
      </x:c>
      <x:c r="F23" s="2" t="str">
        <x:v>M26588316</x:v>
      </x:c>
      <x:c r="G23" s="2" t="str">
        <x:v>MB2607</x:v>
      </x:c>
      <x:c r="H23" s="8" t="str">
        <x:v>知行远程培训会议区</x:v>
      </x:c>
      <x:c r="I23" s="8" t="str">
        <x:v>原机隔离停止业务，仅授权备用端维持服务；仍须安排永久换件</x:v>
      </x:c>
      <x:c r="J23" s="8" t="str">
        <x:v>10-31审批、备件实到检验后发；预计11-02到货，预约待定（2026年）</x:v>
      </x:c>
      <x:c r="K23" s="8" t="str">
        <x:v>直营客户经理</x:v>
      </x:c>
      <x:c r="L23" s="8" t="str">
        <x:v>PD-1046；CT-1046；QTR-261029-02；SV-1046-01</x:v>
      </x:c>
      <x:c r="M23" s="8" t="str">
        <x:v>换件SN绑定、合格件凭证、功能复测、客户验收、拆件隔离/处置证据齐备后逐台关闭</x:v>
      </x:c>
      <x:c r="N23" s="8" t="str"/>
      <x:c r="O23" s="2" t="n">
        <x:v>1</x:v>
      </x:c>
    </x:row>
    <x:row r="24" ht="80" customHeight="1">
      <x:c r="A24" s="2" t="str">
        <x:v>QY2624310</x:v>
      </x:c>
      <x:c r="B24" s="2" t="str">
        <x:v>QY-B200</x:v>
      </x:c>
      <x:c r="C24" s="2" t="str">
        <x:v>C06</x:v>
      </x:c>
      <x:c r="D24" s="2" t="str">
        <x:v>北辰数研中心</x:v>
      </x:c>
      <x:c r="E24" s="2" t="str">
        <x:v>本轮排除</x:v>
      </x:c>
      <x:c r="F24" s="2" t="str">
        <x:v>M26342387</x:v>
      </x:c>
      <x:c r="G24" s="2" t="str">
        <x:v>MB2609</x:v>
      </x:c>
      <x:c r="H24" s="8" t="str">
        <x:v>北辰数研中心会议区</x:v>
      </x:c>
      <x:c r="I24" s="8" t="str">
        <x:v>现机不重复换件；追查拆出模组去向</x:v>
      </x:c>
      <x:c r="J24" s="8" t="str">
        <x:v>本轮不重复换件，关联旧机或拆件继续追踪</x:v>
      </x:c>
      <x:c r="K24" s="8" t="str">
        <x:v>直营客户经理</x:v>
      </x:c>
      <x:c r="L24" s="8" t="str">
        <x:v>PD-1024；CT-1024；QTR-261029-02；SV-1024-01；SV-1024-02；TR-1024；TR-1030</x:v>
      </x:c>
      <x:c r="M24" s="8" t="str">
        <x:v>保留排除依据；排除不等于关联事项已关闭</x:v>
      </x:c>
      <x:c r="N24" s="8" t="str"/>
      <x:c r="O24" s="2" t="n">
        <x:v>0</x:v>
      </x:c>
    </x:row>
    <x:row r="25" ht="80" customHeight="1">
      <x:c r="A25" s="2" t="str">
        <x:v>QY2625302</x:v>
      </x:c>
      <x:c r="B25" s="2" t="str">
        <x:v>QY-A100</x:v>
      </x:c>
      <x:c r="C25" s="2" t="str">
        <x:v>C13</x:v>
      </x:c>
      <x:c r="D25" s="2" t="str">
        <x:v>锦棠商务服务</x:v>
      </x:c>
      <x:c r="E25" s="2" t="str">
        <x:v>本轮排除</x:v>
      </x:c>
      <x:c r="F25" s="2" t="str">
        <x:v>M26347672</x:v>
      </x:c>
      <x:c r="G25" s="2" t="str">
        <x:v>MA2609</x:v>
      </x:c>
      <x:c r="H25" s="8" t="str">
        <x:v>锦棠商务服务会议区</x:v>
      </x:c>
      <x:c r="I25" s="8" t="str">
        <x:v>保留已换合格及验收依据，本轮不重复换件</x:v>
      </x:c>
      <x:c r="J25" s="8" t="str">
        <x:v>本轮不重复换件，关联旧机或拆件继续追踪</x:v>
      </x:c>
      <x:c r="K25" s="8" t="str">
        <x:v>直营客户经理</x:v>
      </x:c>
      <x:c r="L25" s="8" t="str">
        <x:v>PD-1013；CT-1013；QTR-261029-02；SV-1013-01；SV-1013-02</x:v>
      </x:c>
      <x:c r="M25" s="8" t="str">
        <x:v>保留排除依据；排除不等于关联事项已关闭</x:v>
      </x:c>
      <x:c r="N25" s="8" t="str"/>
      <x:c r="O25" s="2" t="n">
        <x:v>0</x:v>
      </x:c>
    </x:row>
    <x:row r="26" ht="80" customHeight="1">
      <x:c r="A26" s="2" t="str">
        <x:v>QY2625544</x:v>
      </x:c>
      <x:c r="B26" s="2" t="str">
        <x:v>QY-B200</x:v>
      </x:c>
      <x:c r="C26" s="2" t="str">
        <x:v>C11</x:v>
      </x:c>
      <x:c r="D26" s="2" t="str">
        <x:v>东麓创新中心</x:v>
      </x:c>
      <x:c r="E26" s="2" t="str">
        <x:v>客户侧受影响</x:v>
      </x:c>
      <x:c r="F26" s="2" t="str">
        <x:v>M26941455</x:v>
      </x:c>
      <x:c r="G26" s="2" t="str">
        <x:v>MB2607</x:v>
      </x:c>
      <x:c r="H26" s="8" t="str">
        <x:v>东麓创新中心会议区</x:v>
      </x:c>
      <x:c r="I26" s="8" t="str">
        <x:v>停止使用并更换合格模组</x:v>
      </x:c>
      <x:c r="J26" s="8" t="str">
        <x:v>10-31审批、备件实到检验后发；预计11-02到货，预约待定（2026年）</x:v>
      </x:c>
      <x:c r="K26" s="8" t="str">
        <x:v>直营客户经理</x:v>
      </x:c>
      <x:c r="L26" s="8" t="str">
        <x:v>PD-1011；CT-1011；QTR-261029-02；SV-1011-01；SV-1011-02</x:v>
      </x:c>
      <x:c r="M26" s="8" t="str">
        <x:v>换件SN绑定、合格件凭证、功能复测、客户验收、拆件隔离/处置证据齐备后逐台关闭</x:v>
      </x:c>
      <x:c r="N26" s="8" t="str"/>
      <x:c r="O26" s="2" t="n">
        <x:v>1</x:v>
      </x:c>
    </x:row>
    <x:row r="27" ht="80" customHeight="1">
      <x:c r="A27" s="2" t="str">
        <x:v>QY2626916</x:v>
      </x:c>
      <x:c r="B27" s="2" t="str">
        <x:v>QY-B200</x:v>
      </x:c>
      <x:c r="C27" s="2" t="str">
        <x:v>C14</x:v>
      </x:c>
      <x:c r="D27" s="2" t="str">
        <x:v>澄岳教育科技</x:v>
      </x:c>
      <x:c r="E27" s="2" t="str">
        <x:v>客户侧受影响</x:v>
      </x:c>
      <x:c r="F27" s="2" t="str">
        <x:v>M26465459</x:v>
      </x:c>
      <x:c r="G27" s="2" t="str">
        <x:v>MB2607</x:v>
      </x:c>
      <x:c r="H27" s="8" t="str">
        <x:v>澄岳教育科技会议区</x:v>
      </x:c>
      <x:c r="I27" s="8" t="str">
        <x:v>通过D02联系现持有人停用换件，取得逐台转达回执</x:v>
      </x:c>
      <x:c r="J27" s="8" t="str">
        <x:v>10-31审批、备件实到检验后发；预计11-02到货，预约待定（2026年）</x:v>
      </x:c>
      <x:c r="K27" s="8" t="str">
        <x:v>D02渠道转达并回收现持有人逐台确认</x:v>
      </x:c>
      <x:c r="L27" s="8" t="str">
        <x:v>PD-1065；CT-1065；QTR-261029-02；CH-1065</x:v>
      </x:c>
      <x:c r="M27" s="8" t="str">
        <x:v>换件SN绑定、合格件凭证、功能复测、客户验收、拆件隔离/处置证据齐备后逐台关闭</x:v>
      </x:c>
      <x:c r="N27" s="8" t="str"/>
      <x:c r="O27" s="2" t="n">
        <x:v>1</x:v>
      </x:c>
    </x:row>
    <x:row r="28" ht="80" customHeight="1">
      <x:c r="A28" s="2" t="str">
        <x:v>QY2628376</x:v>
      </x:c>
      <x:c r="B28" s="2" t="str">
        <x:v>QY-A100</x:v>
      </x:c>
      <x:c r="C28" s="2" t="str">
        <x:v>C13</x:v>
      </x:c>
      <x:c r="D28" s="2" t="str">
        <x:v>锦棠商务服务</x:v>
      </x:c>
      <x:c r="E28" s="2" t="str">
        <x:v>厂内隔离受影响</x:v>
      </x:c>
      <x:c r="F28" s="2" t="str">
        <x:v>M26696830</x:v>
      </x:c>
      <x:c r="G28" s="2" t="str">
        <x:v>MA2607</x:v>
      </x:c>
      <x:c r="H28" s="8" t="str">
        <x:v>启曜返厂隔离区</x:v>
      </x:c>
      <x:c r="I28" s="8" t="str">
        <x:v>维持厂内隔离，核实内部备件和质检后处置；不得按报废结案</x:v>
      </x:c>
      <x:c r="J28" s="8" t="str">
        <x:v>保持隔离；11/06以后、内部库存及质检确认后处置</x:v>
      </x:c>
      <x:c r="K28" s="8" t="str">
        <x:v>厂内服务主管及客户经理同步</x:v>
      </x:c>
      <x:c r="L28" s="8" t="str">
        <x:v>PD-1031；CT-1031；QTR-261029-02；SV-1031-01；SV-1031-02</x:v>
      </x:c>
      <x:c r="M28" s="8" t="str">
        <x:v>隔离台账、内部修复/复测及质量放行，或报废批准和处置凭证；未实际处置不结案</x:v>
      </x:c>
      <x:c r="N28" s="8" t="str">
        <x:v>另有独立替换机QY2665243</x:v>
      </x:c>
      <x:c r="O28" s="2" t="n">
        <x:v>0</x:v>
      </x:c>
    </x:row>
    <x:row r="29" ht="80" customHeight="1">
      <x:c r="A29" s="2" t="str">
        <x:v>QY2631167</x:v>
      </x:c>
      <x:c r="B29" s="2" t="str">
        <x:v>QY-A100</x:v>
      </x:c>
      <x:c r="C29" s="2" t="str">
        <x:v>C15</x:v>
      </x:c>
      <x:c r="D29" s="2" t="str">
        <x:v>观澜会务管理</x:v>
      </x:c>
      <x:c r="E29" s="2" t="str">
        <x:v>本轮排除</x:v>
      </x:c>
      <x:c r="F29" s="2" t="str">
        <x:v>M26453146</x:v>
      </x:c>
      <x:c r="G29" s="2" t="str">
        <x:v>MA2607</x:v>
      </x:c>
      <x:c r="H29" s="8" t="str">
        <x:v>观澜会务管理会议区</x:v>
      </x:c>
      <x:c r="I29" s="8" t="str">
        <x:v>保留R3返工及复测依据，本轮排除</x:v>
      </x:c>
      <x:c r="J29" s="8" t="str">
        <x:v>本轮不重复换件，关联旧机或拆件继续追踪</x:v>
      </x:c>
      <x:c r="K29" s="8" t="str">
        <x:v>直营客户经理</x:v>
      </x:c>
      <x:c r="L29" s="8" t="str">
        <x:v>PD-1051；CT-1051；QTR-261029-02；RW-1051；QC-1051</x:v>
      </x:c>
      <x:c r="M29" s="8" t="str">
        <x:v>保留排除依据；排除不等于关联事项已关闭</x:v>
      </x:c>
      <x:c r="N29" s="8" t="str"/>
      <x:c r="O29" s="2" t="n">
        <x:v>0</x:v>
      </x:c>
    </x:row>
    <x:row r="30" ht="80" customHeight="1">
      <x:c r="A30" s="2" t="str">
        <x:v>QY2631521</x:v>
      </x:c>
      <x:c r="B30" s="2" t="str">
        <x:v>QY-B200</x:v>
      </x:c>
      <x:c r="C30" s="2" t="str">
        <x:v>C18</x:v>
      </x:c>
      <x:c r="D30" s="2" t="str">
        <x:v>云岸协作空间</x:v>
      </x:c>
      <x:c r="E30" s="2" t="str">
        <x:v>本轮排除</x:v>
      </x:c>
      <x:c r="F30" s="2" t="str">
        <x:v>M26064700</x:v>
      </x:c>
      <x:c r="G30" s="2" t="str">
        <x:v>MB2607</x:v>
      </x:c>
      <x:c r="H30" s="8" t="str">
        <x:v>云岸协作空间会议区</x:v>
      </x:c>
      <x:c r="I30" s="8" t="str">
        <x:v>保留R3返工及复测依据，本轮排除</x:v>
      </x:c>
      <x:c r="J30" s="8" t="str">
        <x:v>本轮不重复换件，关联旧机或拆件继续追踪</x:v>
      </x:c>
      <x:c r="K30" s="8" t="str">
        <x:v>直营客户经理</x:v>
      </x:c>
      <x:c r="L30" s="8" t="str">
        <x:v>PD-1054；CT-1054；QTR-261029-02；RW-1054；QC-1054</x:v>
      </x:c>
      <x:c r="M30" s="8" t="str">
        <x:v>保留排除依据；排除不等于关联事项已关闭</x:v>
      </x:c>
      <x:c r="N30" s="8" t="str"/>
      <x:c r="O30" s="2" t="n">
        <x:v>0</x:v>
      </x:c>
    </x:row>
    <x:row r="31" ht="80" customHeight="1">
      <x:c r="A31" s="2" t="str">
        <x:v>QY2633186</x:v>
      </x:c>
      <x:c r="B31" s="2" t="str">
        <x:v>QY-B200</x:v>
      </x:c>
      <x:c r="C31" s="2" t="str">
        <x:v>C16</x:v>
      </x:c>
      <x:c r="D31" s="2" t="str">
        <x:v>合溪产业服务</x:v>
      </x:c>
      <x:c r="E31" s="2" t="str">
        <x:v>本轮排除</x:v>
      </x:c>
      <x:c r="F31" s="2" t="str">
        <x:v>M26564908</x:v>
      </x:c>
      <x:c r="G31" s="2" t="str">
        <x:v>MB2609</x:v>
      </x:c>
      <x:c r="H31" s="8" t="str">
        <x:v>合溪产业服务会议区</x:v>
      </x:c>
      <x:c r="I31" s="8" t="str">
        <x:v>独立登记替换机的合格状态，不与返厂旧机相互抵销</x:v>
      </x:c>
      <x:c r="J31" s="8" t="str">
        <x:v>本轮不重复换件，关联旧机或拆件继续追踪</x:v>
      </x:c>
      <x:c r="K31" s="8" t="str">
        <x:v>直营客户经理</x:v>
      </x:c>
      <x:c r="L31" s="8" t="str">
        <x:v>PD-1070；CT-1070；QTR-261029-02；SV-1070-01</x:v>
      </x:c>
      <x:c r="M31" s="8" t="str">
        <x:v>保留排除依据；排除不等于关联事项已关闭</x:v>
      </x:c>
      <x:c r="N31" s="8" t="str">
        <x:v>替换机对应旧机QY2646941</x:v>
      </x:c>
      <x:c r="O31" s="2" t="n">
        <x:v>0</x:v>
      </x:c>
    </x:row>
    <x:row r="32" ht="80" customHeight="1">
      <x:c r="A32" s="2" t="str">
        <x:v>QY2633791</x:v>
      </x:c>
      <x:c r="B32" s="2" t="str">
        <x:v>QY-B200</x:v>
      </x:c>
      <x:c r="C32" s="2" t="str">
        <x:v>C17</x:v>
      </x:c>
      <x:c r="D32" s="2" t="str">
        <x:v>启明创研中心</x:v>
      </x:c>
      <x:c r="E32" s="2" t="str">
        <x:v>厂内隔离受影响</x:v>
      </x:c>
      <x:c r="F32" s="2" t="str">
        <x:v>M26644688</x:v>
      </x:c>
      <x:c r="G32" s="2" t="str">
        <x:v>MB2607</x:v>
      </x:c>
      <x:c r="H32" s="8" t="str">
        <x:v>启曜返厂隔离区</x:v>
      </x:c>
      <x:c r="I32" s="8" t="str">
        <x:v>维持厂内隔离，核实内部备件和质检后处置；不得按报废结案</x:v>
      </x:c>
      <x:c r="J32" s="8" t="str">
        <x:v>保持隔离；11/06以后、内部库存及质检确认后处置</x:v>
      </x:c>
      <x:c r="K32" s="8" t="str">
        <x:v>厂内服务主管及客户经理同步</x:v>
      </x:c>
      <x:c r="L32" s="8" t="str">
        <x:v>PD-1035；CT-1035；QTR-261029-02；SV-1035-01；SV-1035-02</x:v>
      </x:c>
      <x:c r="M32" s="8" t="str">
        <x:v>隔离台账、内部修复/复测及质量放行，或报废批准和处置凭证；未实际处置不结案</x:v>
      </x:c>
      <x:c r="N32" s="8" t="str">
        <x:v>另有独立替换机QY2615434</x:v>
      </x:c>
      <x:c r="O32" s="2" t="n">
        <x:v>0</x:v>
      </x:c>
    </x:row>
    <x:row r="33" ht="80" customHeight="1">
      <x:c r="A33" s="2" t="str">
        <x:v>QY2639972</x:v>
      </x:c>
      <x:c r="B33" s="2" t="str">
        <x:v>QY-B200</x:v>
      </x:c>
      <x:c r="C33" s="2" t="str">
        <x:v>C17</x:v>
      </x:c>
      <x:c r="D33" s="2" t="str">
        <x:v>启明创研中心</x:v>
      </x:c>
      <x:c r="E33" s="2" t="str">
        <x:v>本轮排除</x:v>
      </x:c>
      <x:c r="F33" s="2" t="str">
        <x:v>M26722073</x:v>
      </x:c>
      <x:c r="G33" s="2" t="str">
        <x:v>MB2607</x:v>
      </x:c>
      <x:c r="H33" s="8" t="str">
        <x:v>启明创研中心会议区</x:v>
      </x:c>
      <x:c r="I33" s="8" t="str">
        <x:v>保留R3返工及复测依据，本轮排除</x:v>
      </x:c>
      <x:c r="J33" s="8" t="str">
        <x:v>本轮不重复换件，关联旧机或拆件继续追踪</x:v>
      </x:c>
      <x:c r="K33" s="8" t="str">
        <x:v>直营客户经理</x:v>
      </x:c>
      <x:c r="L33" s="8" t="str">
        <x:v>PD-1053；CT-1053；QTR-261029-02；RW-1053；QC-1053</x:v>
      </x:c>
      <x:c r="M33" s="8" t="str">
        <x:v>保留排除依据；排除不等于关联事项已关闭</x:v>
      </x:c>
      <x:c r="N33" s="8" t="str"/>
      <x:c r="O33" s="2" t="n">
        <x:v>0</x:v>
      </x:c>
    </x:row>
    <x:row r="34" ht="80" customHeight="1">
      <x:c r="A34" s="2" t="str">
        <x:v>QY2640278</x:v>
      </x:c>
      <x:c r="B34" s="2" t="str">
        <x:v>QY-A100</x:v>
      </x:c>
      <x:c r="C34" s="2" t="str">
        <x:v>C14</x:v>
      </x:c>
      <x:c r="D34" s="2" t="str">
        <x:v>澄岳教育科技</x:v>
      </x:c>
      <x:c r="E34" s="2" t="str">
        <x:v>本轮排除</x:v>
      </x:c>
      <x:c r="F34" s="2" t="str">
        <x:v>M26158094</x:v>
      </x:c>
      <x:c r="G34" s="2" t="str">
        <x:v>MA2609</x:v>
      </x:c>
      <x:c r="H34" s="8" t="str">
        <x:v>澄岳教育科技会议区</x:v>
      </x:c>
      <x:c r="I34" s="8" t="str">
        <x:v>保留已换合格及验收依据，本轮不重复换件</x:v>
      </x:c>
      <x:c r="J34" s="8" t="str">
        <x:v>本轮不重复换件，关联旧机或拆件继续追踪</x:v>
      </x:c>
      <x:c r="K34" s="8" t="str">
        <x:v>直营客户经理</x:v>
      </x:c>
      <x:c r="L34" s="8" t="str">
        <x:v>PD-1014；CT-1014；QTR-261029-02；SV-1014-01；SV-1014-02</x:v>
      </x:c>
      <x:c r="M34" s="8" t="str">
        <x:v>保留排除依据；排除不等于关联事项已关闭</x:v>
      </x:c>
      <x:c r="N34" s="8" t="str"/>
      <x:c r="O34" s="2" t="n">
        <x:v>0</x:v>
      </x:c>
    </x:row>
    <x:row r="35" ht="80" customHeight="1">
      <x:c r="A35" s="2" t="str">
        <x:v>QY2641399</x:v>
      </x:c>
      <x:c r="B35" s="2" t="str">
        <x:v>QY-B200</x:v>
      </x:c>
      <x:c r="C35" s="2" t="str">
        <x:v>C05</x:v>
      </x:c>
      <x:c r="D35" s="2" t="str">
        <x:v>云岚会议服务</x:v>
      </x:c>
      <x:c r="E35" s="2" t="str">
        <x:v>待核实</x:v>
      </x:c>
      <x:c r="F35" s="2" t="str">
        <x:v>待核实</x:v>
      </x:c>
      <x:c r="G35" s="2" t="str">
        <x:v>待核实</x:v>
      </x:c>
      <x:c r="H35" s="8" t="str">
        <x:v>云岚会议服务会议区</x:v>
      </x:c>
      <x:c r="I35" s="8" t="str">
        <x:v>先暂停使用并核验模组身份；按核验结果进入更换或排除</x:v>
      </x:c>
      <x:c r="J35" s="8" t="str">
        <x:v>先核验；各型号暂留3件上界，未核实不承诺最终更换数量</x:v>
      </x:c>
      <x:c r="K35" s="8" t="str">
        <x:v>直营客户经理</x:v>
      </x:c>
      <x:c r="L35" s="8" t="str">
        <x:v>PD-1041；CT-1041；QTR-261029-02；SV-1041-01</x:v>
      </x:c>
      <x:c r="M35" s="8" t="str">
        <x:v>核验现机SN、照片及批次，确定更换或排除后留证</x:v>
      </x:c>
      <x:c r="N35" s="8" t="str"/>
      <x:c r="O35" s="2" t="n">
        <x:v>0</x:v>
      </x:c>
    </x:row>
    <x:row r="36" ht="80" customHeight="1">
      <x:c r="A36" s="2" t="str">
        <x:v>QY2643712</x:v>
      </x:c>
      <x:c r="B36" s="2" t="str">
        <x:v>QY-B200</x:v>
      </x:c>
      <x:c r="C36" s="2" t="str">
        <x:v>C16</x:v>
      </x:c>
      <x:c r="D36" s="2" t="str">
        <x:v>合溪产业服务</x:v>
      </x:c>
      <x:c r="E36" s="2" t="str">
        <x:v>本轮排除</x:v>
      </x:c>
      <x:c r="F36" s="2" t="str">
        <x:v>M26530537</x:v>
      </x:c>
      <x:c r="G36" s="2" t="str">
        <x:v>MB2609</x:v>
      </x:c>
      <x:c r="H36" s="8" t="str">
        <x:v>合溪产业服务会议区</x:v>
      </x:c>
      <x:c r="I36" s="8" t="str">
        <x:v>保留已换合格及验收依据，本轮不重复换件</x:v>
      </x:c>
      <x:c r="J36" s="8" t="str">
        <x:v>本轮不重复换件，关联旧机或拆件继续追踪</x:v>
      </x:c>
      <x:c r="K36" s="8" t="str">
        <x:v>直营客户经理</x:v>
      </x:c>
      <x:c r="L36" s="8" t="str">
        <x:v>PD-1016；CT-1016；QTR-261029-02；SV-1016-01；SV-1016-02</x:v>
      </x:c>
      <x:c r="M36" s="8" t="str">
        <x:v>保留排除依据；排除不等于关联事项已关闭</x:v>
      </x:c>
      <x:c r="N36" s="8" t="str"/>
      <x:c r="O36" s="2" t="n">
        <x:v>0</x:v>
      </x:c>
    </x:row>
    <x:row r="37" ht="80" customHeight="1">
      <x:c r="A37" s="2" t="str">
        <x:v>QY2644125</x:v>
      </x:c>
      <x:c r="B37" s="2" t="str">
        <x:v>QY-A100</x:v>
      </x:c>
      <x:c r="C37" s="2" t="str">
        <x:v>C05</x:v>
      </x:c>
      <x:c r="D37" s="2" t="str">
        <x:v>云岚会议服务</x:v>
      </x:c>
      <x:c r="E37" s="2" t="str">
        <x:v>客户侧受影响</x:v>
      </x:c>
      <x:c r="F37" s="2" t="str">
        <x:v>M26368292</x:v>
      </x:c>
      <x:c r="G37" s="2" t="str">
        <x:v>MA2607</x:v>
      </x:c>
      <x:c r="H37" s="8" t="str">
        <x:v>云岚会议服务会议区</x:v>
      </x:c>
      <x:c r="I37" s="8" t="str">
        <x:v>原机隔离停止业务，仅授权备用端维持服务；仍须安排永久换件</x:v>
      </x:c>
      <x:c r="J37" s="8" t="str">
        <x:v>10-31审批、备件实到检验后发；预计11-02到货，预约待定（2026年）</x:v>
      </x:c>
      <x:c r="K37" s="8" t="str">
        <x:v>直营客户经理</x:v>
      </x:c>
      <x:c r="L37" s="8" t="str">
        <x:v>PD-1044；CT-1044；QTR-261029-02；SV-1044-01</x:v>
      </x:c>
      <x:c r="M37" s="8" t="str">
        <x:v>换件SN绑定、合格件凭证、功能复测、客户验收、拆件隔离/处置证据齐备后逐台关闭</x:v>
      </x:c>
      <x:c r="N37" s="8" t="str"/>
      <x:c r="O37" s="2" t="n">
        <x:v>1</x:v>
      </x:c>
    </x:row>
    <x:row r="38" ht="80" customHeight="1">
      <x:c r="A38" s="2" t="str">
        <x:v>QY2644345</x:v>
      </x:c>
      <x:c r="B38" s="2" t="str">
        <x:v>QY-A100</x:v>
      </x:c>
      <x:c r="C38" s="2" t="str">
        <x:v>C09</x:v>
      </x:c>
      <x:c r="D38" s="2" t="str">
        <x:v>映河文化交流</x:v>
      </x:c>
      <x:c r="E38" s="2" t="str">
        <x:v>客户侧受影响</x:v>
      </x:c>
      <x:c r="F38" s="2" t="str">
        <x:v>M26964814</x:v>
      </x:c>
      <x:c r="G38" s="2" t="str">
        <x:v>MA2607</x:v>
      </x:c>
      <x:c r="H38" s="8" t="str">
        <x:v>映河文化交流会议区</x:v>
      </x:c>
      <x:c r="I38" s="8" t="str">
        <x:v>停止使用并更换合格模组</x:v>
      </x:c>
      <x:c r="J38" s="8" t="str">
        <x:v>10-31审批、备件实到检验后发；预计11-02到货，预约待定（2026年）</x:v>
      </x:c>
      <x:c r="K38" s="8" t="str">
        <x:v>直营客户经理</x:v>
      </x:c>
      <x:c r="L38" s="8" t="str">
        <x:v>PD-1009；CT-1009；QTR-261029-02；SV-1009-01；SV-1009-02</x:v>
      </x:c>
      <x:c r="M38" s="8" t="str">
        <x:v>换件SN绑定、合格件凭证、功能复测、客户验收、拆件隔离/处置证据齐备后逐台关闭</x:v>
      </x:c>
      <x:c r="N38" s="8" t="str"/>
      <x:c r="O38" s="2" t="n">
        <x:v>1</x:v>
      </x:c>
    </x:row>
    <x:row r="39" ht="80" customHeight="1">
      <x:c r="A39" s="2" t="str">
        <x:v>QY2645320</x:v>
      </x:c>
      <x:c r="B39" s="2" t="str">
        <x:v>QY-A100</x:v>
      </x:c>
      <x:c r="C39" s="2" t="str">
        <x:v>C07</x:v>
      </x:c>
      <x:c r="D39" s="2" t="str">
        <x:v>青禾园区运营</x:v>
      </x:c>
      <x:c r="E39" s="2" t="str">
        <x:v>客户侧受影响</x:v>
      </x:c>
      <x:c r="F39" s="2" t="str">
        <x:v>M26296107</x:v>
      </x:c>
      <x:c r="G39" s="2" t="str">
        <x:v>MA2607</x:v>
      </x:c>
      <x:c r="H39" s="8" t="str">
        <x:v>青禾园区运营会议区</x:v>
      </x:c>
      <x:c r="I39" s="8" t="str">
        <x:v>通过D02联系现持有人停用换件，取得逐台转达回执</x:v>
      </x:c>
      <x:c r="J39" s="8" t="str">
        <x:v>10-31审批、备件实到检验后发；预计11-02到货，预约待定（2026年）</x:v>
      </x:c>
      <x:c r="K39" s="8" t="str">
        <x:v>D02渠道转达并回收现持有人逐台确认</x:v>
      </x:c>
      <x:c r="L39" s="8" t="str">
        <x:v>PD-1062；CT-1062；QTR-261029-02；CH-1062</x:v>
      </x:c>
      <x:c r="M39" s="8" t="str">
        <x:v>换件SN绑定、合格件凭证、功能复测、客户验收、拆件隔离/处置证据齐备后逐台关闭</x:v>
      </x:c>
      <x:c r="N39" s="8" t="str"/>
      <x:c r="O39" s="2" t="n">
        <x:v>1</x:v>
      </x:c>
    </x:row>
    <x:row r="40" ht="80" customHeight="1">
      <x:c r="A40" s="2" t="str">
        <x:v>QY2646495</x:v>
      </x:c>
      <x:c r="B40" s="2" t="str">
        <x:v>QY-A100</x:v>
      </x:c>
      <x:c r="C40" s="2" t="str">
        <x:v>C03</x:v>
      </x:c>
      <x:c r="D40" s="2" t="str">
        <x:v>海澄设计中心</x:v>
      </x:c>
      <x:c r="E40" s="2" t="str">
        <x:v>待核实</x:v>
      </x:c>
      <x:c r="F40" s="2" t="str">
        <x:v>待核实</x:v>
      </x:c>
      <x:c r="G40" s="2" t="str">
        <x:v>待核实</x:v>
      </x:c>
      <x:c r="H40" s="8" t="str">
        <x:v>海澄设计中心会议区</x:v>
      </x:c>
      <x:c r="I40" s="8" t="str">
        <x:v>先暂停使用并核验模组身份；按核验结果进入更换或排除</x:v>
      </x:c>
      <x:c r="J40" s="8" t="str">
        <x:v>先核验；各型号暂留3件上界，未核实不承诺最终更换数量</x:v>
      </x:c>
      <x:c r="K40" s="8" t="str">
        <x:v>直营客户经理</x:v>
      </x:c>
      <x:c r="L40" s="8" t="str">
        <x:v>PD-1039；CT-1039；QTR-261029-02；SV-1039-01</x:v>
      </x:c>
      <x:c r="M40" s="8" t="str">
        <x:v>核验现机SN、照片及批次，确定更换或排除后留证</x:v>
      </x:c>
      <x:c r="N40" s="8" t="str"/>
      <x:c r="O40" s="2" t="n">
        <x:v>0</x:v>
      </x:c>
    </x:row>
    <x:row r="41" ht="80" customHeight="1">
      <x:c r="A41" s="2" t="str">
        <x:v>QY2646941</x:v>
      </x:c>
      <x:c r="B41" s="2" t="str">
        <x:v>QY-B200</x:v>
      </x:c>
      <x:c r="C41" s="2" t="str">
        <x:v>C16</x:v>
      </x:c>
      <x:c r="D41" s="2" t="str">
        <x:v>合溪产业服务</x:v>
      </x:c>
      <x:c r="E41" s="2" t="str">
        <x:v>厂内隔离受影响</x:v>
      </x:c>
      <x:c r="F41" s="2" t="str">
        <x:v>M26159382</x:v>
      </x:c>
      <x:c r="G41" s="2" t="str">
        <x:v>MB2607</x:v>
      </x:c>
      <x:c r="H41" s="8" t="str">
        <x:v>启曜返厂隔离区</x:v>
      </x:c>
      <x:c r="I41" s="8" t="str">
        <x:v>维持厂内隔离，核实内部备件和质检后处置；不得按报废结案</x:v>
      </x:c>
      <x:c r="J41" s="8" t="str">
        <x:v>保持隔离；11/06以后、内部库存及质检确认后处置</x:v>
      </x:c>
      <x:c r="K41" s="8" t="str">
        <x:v>厂内服务主管及客户经理同步</x:v>
      </x:c>
      <x:c r="L41" s="8" t="str">
        <x:v>PD-1034；CT-1034；QTR-261029-02；SV-1034-01；SV-1034-02</x:v>
      </x:c>
      <x:c r="M41" s="8" t="str">
        <x:v>隔离台账、内部修复/复测及质量放行，或报废批准和处置凭证；未实际处置不结案</x:v>
      </x:c>
      <x:c r="N41" s="8" t="str">
        <x:v>另有独立替换机QY2633186</x:v>
      </x:c>
      <x:c r="O41" s="2" t="n">
        <x:v>0</x:v>
      </x:c>
    </x:row>
    <x:row r="42" ht="80" customHeight="1">
      <x:c r="A42" s="2" t="str">
        <x:v>QY2648624</x:v>
      </x:c>
      <x:c r="B42" s="2" t="str">
        <x:v>QY-A100</x:v>
      </x:c>
      <x:c r="C42" s="2" t="str">
        <x:v>C05</x:v>
      </x:c>
      <x:c r="D42" s="2" t="str">
        <x:v>云岚会议服务</x:v>
      </x:c>
      <x:c r="E42" s="2" t="str">
        <x:v>客户侧受影响</x:v>
      </x:c>
      <x:c r="F42" s="2" t="str">
        <x:v>M26726914</x:v>
      </x:c>
      <x:c r="G42" s="2" t="str">
        <x:v>MA2607</x:v>
      </x:c>
      <x:c r="H42" s="8" t="str">
        <x:v>云岚会议服务会议区</x:v>
      </x:c>
      <x:c r="I42" s="8" t="str">
        <x:v>原机隔离停止业务，仅授权备用端维持服务；仍须安排永久换件</x:v>
      </x:c>
      <x:c r="J42" s="8" t="str">
        <x:v>10-31审批、备件实到检验后发；预计11-02到货，预约待定（2026年）</x:v>
      </x:c>
      <x:c r="K42" s="8" t="str">
        <x:v>直营客户经理</x:v>
      </x:c>
      <x:c r="L42" s="8" t="str">
        <x:v>PD-1045；CT-1045；QTR-261029-02；SV-1045-01</x:v>
      </x:c>
      <x:c r="M42" s="8" t="str">
        <x:v>换件SN绑定、合格件凭证、功能复测、客户验收、拆件隔离/处置证据齐备后逐台关闭</x:v>
      </x:c>
      <x:c r="N42" s="8" t="str"/>
      <x:c r="O42" s="2" t="n">
        <x:v>1</x:v>
      </x:c>
    </x:row>
    <x:row r="43" ht="80" customHeight="1">
      <x:c r="A43" s="2" t="str">
        <x:v>QY2649315</x:v>
      </x:c>
      <x:c r="B43" s="2" t="str">
        <x:v>QY-A100</x:v>
      </x:c>
      <x:c r="C43" s="2" t="str">
        <x:v>C03</x:v>
      </x:c>
      <x:c r="D43" s="2" t="str">
        <x:v>海澄设计中心</x:v>
      </x:c>
      <x:c r="E43" s="2" t="str">
        <x:v>本轮排除</x:v>
      </x:c>
      <x:c r="F43" s="2" t="str">
        <x:v>M26298688</x:v>
      </x:c>
      <x:c r="G43" s="2" t="str">
        <x:v>MA2609</x:v>
      </x:c>
      <x:c r="H43" s="8" t="str">
        <x:v>海澄设计中心会议区</x:v>
      </x:c>
      <x:c r="I43" s="8" t="str">
        <x:v>现机不重复换件；追查拆出模组去向</x:v>
      </x:c>
      <x:c r="J43" s="8" t="str">
        <x:v>本轮不重复换件，关联旧机或拆件继续追踪</x:v>
      </x:c>
      <x:c r="K43" s="8" t="str">
        <x:v>直营客户经理</x:v>
      </x:c>
      <x:c r="L43" s="8" t="str">
        <x:v>PD-1021；CT-1021；QTR-261029-02；SV-1021-01；SV-1021-02；TR-1027；TR-1021</x:v>
      </x:c>
      <x:c r="M43" s="8" t="str">
        <x:v>保留排除依据；排除不等于关联事项已关闭</x:v>
      </x:c>
      <x:c r="N43" s="8" t="str"/>
      <x:c r="O43" s="2" t="n">
        <x:v>0</x:v>
      </x:c>
    </x:row>
    <x:row r="44" ht="80" customHeight="1">
      <x:c r="A44" s="2" t="str">
        <x:v>QY2651976</x:v>
      </x:c>
      <x:c r="B44" s="2" t="str">
        <x:v>QY-A100</x:v>
      </x:c>
      <x:c r="C44" s="2" t="str">
        <x:v>C01</x:v>
      </x:c>
      <x:c r="D44" s="2" t="str">
        <x:v>江湾会展运营</x:v>
      </x:c>
      <x:c r="E44" s="2" t="str">
        <x:v>待核实</x:v>
      </x:c>
      <x:c r="F44" s="2" t="str">
        <x:v>待核实</x:v>
      </x:c>
      <x:c r="G44" s="2" t="str">
        <x:v>待核实</x:v>
      </x:c>
      <x:c r="H44" s="8" t="str">
        <x:v>江湾会展运营会议区</x:v>
      </x:c>
      <x:c r="I44" s="8" t="str">
        <x:v>先暂停使用并核验模组身份；按核验结果进入更换或排除</x:v>
      </x:c>
      <x:c r="J44" s="8" t="str">
        <x:v>先核验；各型号暂留3件上界，未核实不承诺最终更换数量</x:v>
      </x:c>
      <x:c r="K44" s="8" t="str">
        <x:v>直营客户经理</x:v>
      </x:c>
      <x:c r="L44" s="8" t="str">
        <x:v>PD-1037；CT-1037；QTR-261029-02；SV-1037-01</x:v>
      </x:c>
      <x:c r="M44" s="8" t="str">
        <x:v>核验现机SN、照片及批次，确定更换或排除后留证</x:v>
      </x:c>
      <x:c r="N44" s="8" t="str"/>
      <x:c r="O44" s="2" t="n">
        <x:v>0</x:v>
      </x:c>
    </x:row>
    <x:row r="45" ht="80" customHeight="1">
      <x:c r="A45" s="2" t="str">
        <x:v>QY2652087</x:v>
      </x:c>
      <x:c r="B45" s="2" t="str">
        <x:v>QY-B200</x:v>
      </x:c>
      <x:c r="C45" s="2" t="str">
        <x:v>C10</x:v>
      </x:c>
      <x:c r="D45" s="2" t="str">
        <x:v>星浦企业服务</x:v>
      </x:c>
      <x:c r="E45" s="2" t="str">
        <x:v>客户侧受影响</x:v>
      </x:c>
      <x:c r="F45" s="2" t="str">
        <x:v>M26341038</x:v>
      </x:c>
      <x:c r="G45" s="2" t="str">
        <x:v>MB2607</x:v>
      </x:c>
      <x:c r="H45" s="8" t="str">
        <x:v>星浦企业服务会议区</x:v>
      </x:c>
      <x:c r="I45" s="8" t="str">
        <x:v>停止使用并更换合格模组</x:v>
      </x:c>
      <x:c r="J45" s="8" t="str">
        <x:v>10-31审批、备件实到检验后发；预计11-02到货，预约待定（2026年）</x:v>
      </x:c>
      <x:c r="K45" s="8" t="str">
        <x:v>直营客户经理</x:v>
      </x:c>
      <x:c r="L45" s="8" t="str">
        <x:v>PD-1010；CT-1010；QTR-261029-02；SV-1010-01；SV-1010-02</x:v>
      </x:c>
      <x:c r="M45" s="8" t="str">
        <x:v>换件SN绑定、合格件凭证、功能复测、客户验收、拆件隔离/处置证据齐备后逐台关闭</x:v>
      </x:c>
      <x:c r="N45" s="8" t="str"/>
      <x:c r="O45" s="2" t="n">
        <x:v>1</x:v>
      </x:c>
    </x:row>
    <x:row r="46" ht="80" customHeight="1">
      <x:c r="A46" s="2" t="str">
        <x:v>QY2654516</x:v>
      </x:c>
      <x:c r="B46" s="2" t="str">
        <x:v>QY-A100</x:v>
      </x:c>
      <x:c r="C46" s="2" t="str">
        <x:v>C02</x:v>
      </x:c>
      <x:c r="D46" s="2" t="str">
        <x:v>临浦科创园</x:v>
      </x:c>
      <x:c r="E46" s="2" t="str">
        <x:v>待核实</x:v>
      </x:c>
      <x:c r="F46" s="2" t="str">
        <x:v>待核实</x:v>
      </x:c>
      <x:c r="G46" s="2" t="str">
        <x:v>待核实</x:v>
      </x:c>
      <x:c r="H46" s="8" t="str">
        <x:v>临浦科创园会议区</x:v>
      </x:c>
      <x:c r="I46" s="8" t="str">
        <x:v>先暂停使用并核验模组身份；按核验结果进入更换或排除</x:v>
      </x:c>
      <x:c r="J46" s="8" t="str">
        <x:v>先核验；各型号暂留3件上界，未核实不承诺最终更换数量</x:v>
      </x:c>
      <x:c r="K46" s="8" t="str">
        <x:v>直营客户经理</x:v>
      </x:c>
      <x:c r="L46" s="8" t="str">
        <x:v>PD-1038；CT-1038；QTR-261029-02；SV-1038-01</x:v>
      </x:c>
      <x:c r="M46" s="8" t="str">
        <x:v>核验现机SN、照片及批次，确定更换或排除后留证</x:v>
      </x:c>
      <x:c r="N46" s="8" t="str"/>
      <x:c r="O46" s="2" t="n">
        <x:v>0</x:v>
      </x:c>
    </x:row>
    <x:row r="47" ht="80" customHeight="1">
      <x:c r="A47" s="2" t="str">
        <x:v>QY2656682</x:v>
      </x:c>
      <x:c r="B47" s="2" t="str">
        <x:v>QY-B200</x:v>
      </x:c>
      <x:c r="C47" s="2" t="str">
        <x:v>C04</x:v>
      </x:c>
      <x:c r="D47" s="2" t="str">
        <x:v>松庭培训服务</x:v>
      </x:c>
      <x:c r="E47" s="2" t="str">
        <x:v>待核实</x:v>
      </x:c>
      <x:c r="F47" s="2" t="str">
        <x:v>待核实</x:v>
      </x:c>
      <x:c r="G47" s="2" t="str">
        <x:v>待核实</x:v>
      </x:c>
      <x:c r="H47" s="8" t="str">
        <x:v>松庭培训服务会议区</x:v>
      </x:c>
      <x:c r="I47" s="8" t="str">
        <x:v>先暂停使用并核验模组身份；按核验结果进入更换或排除</x:v>
      </x:c>
      <x:c r="J47" s="8" t="str">
        <x:v>先核验；各型号暂留3件上界，未核实不承诺最终更换数量</x:v>
      </x:c>
      <x:c r="K47" s="8" t="str">
        <x:v>直营客户经理</x:v>
      </x:c>
      <x:c r="L47" s="8" t="str">
        <x:v>PD-1040；CT-1040；QTR-261029-02；SV-1040-01</x:v>
      </x:c>
      <x:c r="M47" s="8" t="str">
        <x:v>核验现机SN、照片及批次，确定更换或排除后留证</x:v>
      </x:c>
      <x:c r="N47" s="8" t="str"/>
      <x:c r="O47" s="2" t="n">
        <x:v>0</x:v>
      </x:c>
    </x:row>
    <x:row r="48" ht="80" customHeight="1">
      <x:c r="A48" s="2" t="str">
        <x:v>QY2657823</x:v>
      </x:c>
      <x:c r="B48" s="2" t="str">
        <x:v>QY-A100</x:v>
      </x:c>
      <x:c r="C48" s="2" t="str">
        <x:v>C01</x:v>
      </x:c>
      <x:c r="D48" s="2" t="str">
        <x:v>江湾会展运营</x:v>
      </x:c>
      <x:c r="E48" s="2" t="str">
        <x:v>客户侧受影响</x:v>
      </x:c>
      <x:c r="F48" s="2" t="str">
        <x:v>M26654283</x:v>
      </x:c>
      <x:c r="G48" s="2" t="str">
        <x:v>MA2607</x:v>
      </x:c>
      <x:c r="H48" s="8" t="str">
        <x:v>江湾会展运营会议区</x:v>
      </x:c>
      <x:c r="I48" s="8" t="str">
        <x:v>停止使用并更换合格模组；领料不代表安装完成</x:v>
      </x:c>
      <x:c r="J48" s="8" t="str">
        <x:v>10-31审批、备件实到检验后发；预计11-02到货，预约待定（2026年）</x:v>
      </x:c>
      <x:c r="K48" s="8" t="str">
        <x:v>直营客户经理</x:v>
      </x:c>
      <x:c r="L48" s="8" t="str">
        <x:v>PD-1001；CT-1001；QTR-261029-02；SV-1001-01；SV-1001-02</x:v>
      </x:c>
      <x:c r="M48" s="8" t="str">
        <x:v>换件SN绑定、合格件凭证、功能复测、客户验收、拆件隔离/处置证据齐备后逐台关闭</x:v>
      </x:c>
      <x:c r="N48" s="8" t="str"/>
      <x:c r="O48" s="2" t="n">
        <x:v>1</x:v>
      </x:c>
    </x:row>
    <x:row r="49" ht="80" customHeight="1">
      <x:c r="A49" s="2" t="str">
        <x:v>QY2658743</x:v>
      </x:c>
      <x:c r="B49" s="2" t="str">
        <x:v>QY-A100</x:v>
      </x:c>
      <x:c r="C49" s="2" t="str">
        <x:v>C01</x:v>
      </x:c>
      <x:c r="D49" s="2" t="str">
        <x:v>江湾会展运营</x:v>
      </x:c>
      <x:c r="E49" s="2" t="str">
        <x:v>本轮排除</x:v>
      </x:c>
      <x:c r="F49" s="2" t="str">
        <x:v>M26301813</x:v>
      </x:c>
      <x:c r="G49" s="2" t="str">
        <x:v>MA2609</x:v>
      </x:c>
      <x:c r="H49" s="8" t="str">
        <x:v>江湾会展运营会议区</x:v>
      </x:c>
      <x:c r="I49" s="8" t="str">
        <x:v>现机不重复换件；追查拆出模组去向</x:v>
      </x:c>
      <x:c r="J49" s="8" t="str">
        <x:v>本轮不重复换件，关联旧机或拆件继续追踪</x:v>
      </x:c>
      <x:c r="K49" s="8" t="str">
        <x:v>直营客户经理</x:v>
      </x:c>
      <x:c r="L49" s="8" t="str">
        <x:v>PD-1019；CT-1019；QTR-261029-02；SV-1019-01；SV-1019-02；TR-1025；TR-1019</x:v>
      </x:c>
      <x:c r="M49" s="8" t="str">
        <x:v>保留排除依据；排除不等于关联事项已关闭</x:v>
      </x:c>
      <x:c r="N49" s="8" t="str"/>
      <x:c r="O49" s="2" t="n">
        <x:v>0</x:v>
      </x:c>
    </x:row>
    <x:row r="50" ht="80" customHeight="1">
      <x:c r="A50" s="2" t="str">
        <x:v>QY2662573</x:v>
      </x:c>
      <x:c r="B50" s="2" t="str">
        <x:v>QY-A100</x:v>
      </x:c>
      <x:c r="C50" s="2" t="str">
        <x:v>C14</x:v>
      </x:c>
      <x:c r="D50" s="2" t="str">
        <x:v>澄岳教育科技</x:v>
      </x:c>
      <x:c r="E50" s="2" t="str">
        <x:v>本轮排除</x:v>
      </x:c>
      <x:c r="F50" s="2" t="str">
        <x:v>M26298239</x:v>
      </x:c>
      <x:c r="G50" s="2" t="str">
        <x:v>MA2607</x:v>
      </x:c>
      <x:c r="H50" s="8" t="str">
        <x:v>澄岳教育科技会议区</x:v>
      </x:c>
      <x:c r="I50" s="8" t="str">
        <x:v>保留R3返工及复测依据，本轮排除</x:v>
      </x:c>
      <x:c r="J50" s="8" t="str">
        <x:v>本轮不重复换件，关联旧机或拆件继续追踪</x:v>
      </x:c>
      <x:c r="K50" s="8" t="str">
        <x:v>直营客户经理</x:v>
      </x:c>
      <x:c r="L50" s="8" t="str">
        <x:v>PD-1050；CT-1050；QTR-261029-02；RW-1050；QC-1050</x:v>
      </x:c>
      <x:c r="M50" s="8" t="str">
        <x:v>保留排除依据；排除不等于关联事项已关闭</x:v>
      </x:c>
      <x:c r="N50" s="8" t="str"/>
      <x:c r="O50" s="2" t="n">
        <x:v>0</x:v>
      </x:c>
    </x:row>
    <x:row r="51" ht="80" customHeight="1">
      <x:c r="A51" s="2" t="str">
        <x:v>QY2664782</x:v>
      </x:c>
      <x:c r="B51" s="2" t="str">
        <x:v>QY-B200</x:v>
      </x:c>
      <x:c r="C51" s="2" t="str">
        <x:v>C05</x:v>
      </x:c>
      <x:c r="D51" s="2" t="str">
        <x:v>云岚会议服务</x:v>
      </x:c>
      <x:c r="E51" s="2" t="str">
        <x:v>本轮排除</x:v>
      </x:c>
      <x:c r="F51" s="2" t="str">
        <x:v>M26438153</x:v>
      </x:c>
      <x:c r="G51" s="2" t="str">
        <x:v>MB2609</x:v>
      </x:c>
      <x:c r="H51" s="8" t="str">
        <x:v>云岚会议服务会议区</x:v>
      </x:c>
      <x:c r="I51" s="8" t="str">
        <x:v>现机不重复换件；追查拆出模组去向</x:v>
      </x:c>
      <x:c r="J51" s="8" t="str">
        <x:v>本轮不重复换件，关联旧机或拆件继续追踪</x:v>
      </x:c>
      <x:c r="K51" s="8" t="str">
        <x:v>直营客户经理</x:v>
      </x:c>
      <x:c r="L51" s="8" t="str">
        <x:v>PD-1023；CT-1023；QTR-261029-02；SV-1023-01；SV-1023-02；TR-1023；TR-1029</x:v>
      </x:c>
      <x:c r="M51" s="8" t="str">
        <x:v>保留排除依据；排除不等于关联事项已关闭</x:v>
      </x:c>
      <x:c r="N51" s="8" t="str"/>
      <x:c r="O51" s="2" t="n">
        <x:v>0</x:v>
      </x:c>
    </x:row>
    <x:row r="52" ht="80" customHeight="1">
      <x:c r="A52" s="2" t="str">
        <x:v>QY2664939</x:v>
      </x:c>
      <x:c r="B52" s="2" t="str">
        <x:v>QY-B200</x:v>
      </x:c>
      <x:c r="C52" s="2" t="str">
        <x:v>C18</x:v>
      </x:c>
      <x:c r="D52" s="2" t="str">
        <x:v>云岸协作空间</x:v>
      </x:c>
      <x:c r="E52" s="2" t="str">
        <x:v>本轮排除</x:v>
      </x:c>
      <x:c r="F52" s="2" t="str">
        <x:v>M26270649</x:v>
      </x:c>
      <x:c r="G52" s="2" t="str">
        <x:v>MB2609</x:v>
      </x:c>
      <x:c r="H52" s="8" t="str">
        <x:v>云岸协作空间会议区</x:v>
      </x:c>
      <x:c r="I52" s="8" t="str">
        <x:v>独立登记替换机的合格状态，不与返厂旧机相互抵销</x:v>
      </x:c>
      <x:c r="J52" s="8" t="str">
        <x:v>本轮不重复换件，关联旧机或拆件继续追踪</x:v>
      </x:c>
      <x:c r="K52" s="8" t="str">
        <x:v>直营客户经理</x:v>
      </x:c>
      <x:c r="L52" s="8" t="str">
        <x:v>PD-1072；CT-1072；QTR-261029-02；SV-1072-01</x:v>
      </x:c>
      <x:c r="M52" s="8" t="str">
        <x:v>保留排除依据；排除不等于关联事项已关闭</x:v>
      </x:c>
      <x:c r="N52" s="8" t="str">
        <x:v>替换机对应旧机QY2617455</x:v>
      </x:c>
      <x:c r="O52" s="2" t="n">
        <x:v>0</x:v>
      </x:c>
    </x:row>
    <x:row r="53" ht="80" customHeight="1">
      <x:c r="A53" s="2" t="str">
        <x:v>QY2665243</x:v>
      </x:c>
      <x:c r="B53" s="2" t="str">
        <x:v>QY-A100</x:v>
      </x:c>
      <x:c r="C53" s="2" t="str">
        <x:v>C13</x:v>
      </x:c>
      <x:c r="D53" s="2" t="str">
        <x:v>锦棠商务服务</x:v>
      </x:c>
      <x:c r="E53" s="2" t="str">
        <x:v>本轮排除</x:v>
      </x:c>
      <x:c r="F53" s="2" t="str">
        <x:v>M26618871</x:v>
      </x:c>
      <x:c r="G53" s="2" t="str">
        <x:v>MA2609</x:v>
      </x:c>
      <x:c r="H53" s="8" t="str">
        <x:v>锦棠商务服务会议区</x:v>
      </x:c>
      <x:c r="I53" s="8" t="str">
        <x:v>独立登记替换机的合格状态，不与返厂旧机相互抵销</x:v>
      </x:c>
      <x:c r="J53" s="8" t="str">
        <x:v>本轮不重复换件，关联旧机或拆件继续追踪</x:v>
      </x:c>
      <x:c r="K53" s="8" t="str">
        <x:v>直营客户经理</x:v>
      </x:c>
      <x:c r="L53" s="8" t="str">
        <x:v>PD-1067；CT-1067；QTR-261029-02；SV-1067-01</x:v>
      </x:c>
      <x:c r="M53" s="8" t="str">
        <x:v>保留排除依据；排除不等于关联事项已关闭</x:v>
      </x:c>
      <x:c r="N53" s="8" t="str">
        <x:v>替换机对应旧机QY2628376</x:v>
      </x:c>
      <x:c r="O53" s="2" t="n">
        <x:v>0</x:v>
      </x:c>
    </x:row>
    <x:row r="54" ht="80" customHeight="1">
      <x:c r="A54" s="2" t="str">
        <x:v>QY2665265</x:v>
      </x:c>
      <x:c r="B54" s="2" t="str">
        <x:v>QY-B200</x:v>
      </x:c>
      <x:c r="C54" s="2" t="str">
        <x:v>C05</x:v>
      </x:c>
      <x:c r="D54" s="2" t="str">
        <x:v>云岚会议服务</x:v>
      </x:c>
      <x:c r="E54" s="2" t="str">
        <x:v>客户侧受影响</x:v>
      </x:c>
      <x:c r="F54" s="2" t="str">
        <x:v>M26681419</x:v>
      </x:c>
      <x:c r="G54" s="2" t="str">
        <x:v>MB2607</x:v>
      </x:c>
      <x:c r="H54" s="8" t="str">
        <x:v>云岚会议服务会议区</x:v>
      </x:c>
      <x:c r="I54" s="8" t="str">
        <x:v>停止使用并更换合格模组；领料不代表安装完成</x:v>
      </x:c>
      <x:c r="J54" s="8" t="str">
        <x:v>10-31审批、备件实到检验后发；预计11-02到货，预约待定（2026年）</x:v>
      </x:c>
      <x:c r="K54" s="8" t="str">
        <x:v>直营客户经理</x:v>
      </x:c>
      <x:c r="L54" s="8" t="str">
        <x:v>PD-1005；CT-1005；QTR-261029-02；SV-1005-01；SV-1005-02</x:v>
      </x:c>
      <x:c r="M54" s="8" t="str">
        <x:v>换件SN绑定、合格件凭证、功能复测、客户验收、拆件隔离/处置证据齐备后逐台关闭</x:v>
      </x:c>
      <x:c r="N54" s="8" t="str"/>
      <x:c r="O54" s="2" t="n">
        <x:v>1</x:v>
      </x:c>
    </x:row>
    <x:row r="55" ht="80" customHeight="1">
      <x:c r="A55" s="2" t="str">
        <x:v>QY2665800</x:v>
      </x:c>
      <x:c r="B55" s="2" t="str">
        <x:v>QY-B200</x:v>
      </x:c>
      <x:c r="C55" s="2" t="str">
        <x:v>C04</x:v>
      </x:c>
      <x:c r="D55" s="2" t="str">
        <x:v>松庭培训服务</x:v>
      </x:c>
      <x:c r="E55" s="2" t="str">
        <x:v>客户侧受影响</x:v>
      </x:c>
      <x:c r="F55" s="2" t="str">
        <x:v>M26005130</x:v>
      </x:c>
      <x:c r="G55" s="2" t="str">
        <x:v>MB2607</x:v>
      </x:c>
      <x:c r="H55" s="8" t="str">
        <x:v>松庭培训服务会议区</x:v>
      </x:c>
      <x:c r="I55" s="8" t="str">
        <x:v>停止使用并更换合格模组；领料不代表安装完成</x:v>
      </x:c>
      <x:c r="J55" s="8" t="str">
        <x:v>10-31审批、备件实到检验后发；预计11-02到货，预约待定（2026年）</x:v>
      </x:c>
      <x:c r="K55" s="8" t="str">
        <x:v>直营客户经理</x:v>
      </x:c>
      <x:c r="L55" s="8" t="str">
        <x:v>PD-1004；CT-1004；QTR-261029-02；SV-1004-01；SV-1004-02</x:v>
      </x:c>
      <x:c r="M55" s="8" t="str">
        <x:v>换件SN绑定、合格件凭证、功能复测、客户验收、拆件隔离/处置证据齐备后逐台关闭</x:v>
      </x:c>
      <x:c r="N55" s="8" t="str"/>
      <x:c r="O55" s="2" t="n">
        <x:v>1</x:v>
      </x:c>
    </x:row>
    <x:row r="56" ht="80" customHeight="1">
      <x:c r="A56" s="2" t="str">
        <x:v>QY2669093</x:v>
      </x:c>
      <x:c r="B56" s="2" t="str">
        <x:v>QY-A100</x:v>
      </x:c>
      <x:c r="C56" s="2" t="str">
        <x:v>C07</x:v>
      </x:c>
      <x:c r="D56" s="2" t="str">
        <x:v>青禾园区运营</x:v>
      </x:c>
      <x:c r="E56" s="2" t="str">
        <x:v>客户侧受影响</x:v>
      </x:c>
      <x:c r="F56" s="2" t="str">
        <x:v>M26346535</x:v>
      </x:c>
      <x:c r="G56" s="2" t="str">
        <x:v>MA2607</x:v>
      </x:c>
      <x:c r="H56" s="8" t="str">
        <x:v>青禾园区运营会议区</x:v>
      </x:c>
      <x:c r="I56" s="8" t="str">
        <x:v>通过D02联系现持有人停用换件，取得逐台转达回执</x:v>
      </x:c>
      <x:c r="J56" s="8" t="str">
        <x:v>10-31审批、备件实到检验后发；预计11-02到货，预约待定（2026年）</x:v>
      </x:c>
      <x:c r="K56" s="8" t="str">
        <x:v>D02渠道转达并回收现持有人逐台确认</x:v>
      </x:c>
      <x:c r="L56" s="8" t="str">
        <x:v>PD-1063；CT-1063；QTR-261029-02；CH-1063</x:v>
      </x:c>
      <x:c r="M56" s="8" t="str">
        <x:v>换件SN绑定、合格件凭证、功能复测、客户验收、拆件隔离/处置证据齐备后逐台关闭</x:v>
      </x:c>
      <x:c r="N56" s="8" t="str"/>
      <x:c r="O56" s="2" t="n">
        <x:v>1</x:v>
      </x:c>
    </x:row>
    <x:row r="57" ht="80" customHeight="1">
      <x:c r="A57" s="2" t="str">
        <x:v>QY2673236</x:v>
      </x:c>
      <x:c r="B57" s="2" t="str">
        <x:v>QY-B200</x:v>
      </x:c>
      <x:c r="C57" s="2" t="str">
        <x:v>C16</x:v>
      </x:c>
      <x:c r="D57" s="2" t="str">
        <x:v>合溪产业服务</x:v>
      </x:c>
      <x:c r="E57" s="2" t="str">
        <x:v>本轮排除</x:v>
      </x:c>
      <x:c r="F57" s="2" t="str">
        <x:v>M26459628</x:v>
      </x:c>
      <x:c r="G57" s="2" t="str">
        <x:v>MB2607</x:v>
      </x:c>
      <x:c r="H57" s="8" t="str">
        <x:v>合溪产业服务会议区</x:v>
      </x:c>
      <x:c r="I57" s="8" t="str">
        <x:v>保留R3返工及复测依据，本轮排除</x:v>
      </x:c>
      <x:c r="J57" s="8" t="str">
        <x:v>本轮不重复换件，关联旧机或拆件继续追踪</x:v>
      </x:c>
      <x:c r="K57" s="8" t="str">
        <x:v>直营客户经理</x:v>
      </x:c>
      <x:c r="L57" s="8" t="str">
        <x:v>PD-1052；CT-1052；QTR-261029-02；RW-1052；QC-1052</x:v>
      </x:c>
      <x:c r="M57" s="8" t="str">
        <x:v>保留排除依据；排除不等于关联事项已关闭</x:v>
      </x:c>
      <x:c r="N57" s="8" t="str"/>
      <x:c r="O57" s="2" t="n">
        <x:v>0</x:v>
      </x:c>
    </x:row>
    <x:row r="58" ht="80" customHeight="1">
      <x:c r="A58" s="2" t="str">
        <x:v>QY2674168</x:v>
      </x:c>
      <x:c r="B58" s="2" t="str">
        <x:v>QY-B200</x:v>
      </x:c>
      <x:c r="C58" s="2" t="str">
        <x:v>C14</x:v>
      </x:c>
      <x:c r="D58" s="2" t="str">
        <x:v>澄岳教育科技</x:v>
      </x:c>
      <x:c r="E58" s="2" t="str">
        <x:v>客户侧受影响</x:v>
      </x:c>
      <x:c r="F58" s="2" t="str">
        <x:v>M26914181</x:v>
      </x:c>
      <x:c r="G58" s="2" t="str">
        <x:v>MB2607</x:v>
      </x:c>
      <x:c r="H58" s="8" t="str">
        <x:v>澄岳教育科技会议区</x:v>
      </x:c>
      <x:c r="I58" s="8" t="str">
        <x:v>通过D02联系现持有人停用换件，取得逐台转达回执</x:v>
      </x:c>
      <x:c r="J58" s="8" t="str">
        <x:v>10-31审批、备件实到检验后发；预计11-02到货，预约待定（2026年）</x:v>
      </x:c>
      <x:c r="K58" s="8" t="str">
        <x:v>D02渠道转达并回收现持有人逐台确认</x:v>
      </x:c>
      <x:c r="L58" s="8" t="str">
        <x:v>PD-1066；CT-1066；QTR-261029-02；CH-1066</x:v>
      </x:c>
      <x:c r="M58" s="8" t="str">
        <x:v>换件SN绑定、合格件凭证、功能复测、客户验收、拆件隔离/处置证据齐备后逐台关闭</x:v>
      </x:c>
      <x:c r="N58" s="8" t="str"/>
      <x:c r="O58" s="2" t="n">
        <x:v>1</x:v>
      </x:c>
    </x:row>
    <x:row r="59" ht="80" customHeight="1">
      <x:c r="A59" s="2" t="str">
        <x:v>QY2674419</x:v>
      </x:c>
      <x:c r="B59" s="2" t="str">
        <x:v>QY-A100</x:v>
      </x:c>
      <x:c r="C59" s="2" t="str">
        <x:v>C02</x:v>
      </x:c>
      <x:c r="D59" s="2" t="str">
        <x:v>临浦科创园</x:v>
      </x:c>
      <x:c r="E59" s="2" t="str">
        <x:v>本轮排除</x:v>
      </x:c>
      <x:c r="F59" s="2" t="str">
        <x:v>M26975860</x:v>
      </x:c>
      <x:c r="G59" s="2" t="str">
        <x:v>MA2609</x:v>
      </x:c>
      <x:c r="H59" s="8" t="str">
        <x:v>临浦科创园会议区</x:v>
      </x:c>
      <x:c r="I59" s="8" t="str">
        <x:v>现机不重复换件；追查拆出模组去向</x:v>
      </x:c>
      <x:c r="J59" s="8" t="str">
        <x:v>本轮不重复换件，关联旧机或拆件继续追踪</x:v>
      </x:c>
      <x:c r="K59" s="8" t="str">
        <x:v>直营客户经理</x:v>
      </x:c>
      <x:c r="L59" s="8" t="str">
        <x:v>PD-1020；CT-1020；QTR-261029-02；SV-1020-01；SV-1020-02；TR-1026；TR-1020</x:v>
      </x:c>
      <x:c r="M59" s="8" t="str">
        <x:v>保留排除依据；排除不等于关联事项已关闭</x:v>
      </x:c>
      <x:c r="N59" s="8" t="str"/>
      <x:c r="O59" s="2" t="n">
        <x:v>0</x:v>
      </x:c>
    </x:row>
    <x:row r="60" ht="80" customHeight="1">
      <x:c r="A60" s="2" t="str">
        <x:v>QY2674443</x:v>
      </x:c>
      <x:c r="B60" s="2" t="str">
        <x:v>QY-A100</x:v>
      </x:c>
      <x:c r="C60" s="2" t="str">
        <x:v>C01</x:v>
      </x:c>
      <x:c r="D60" s="2" t="str">
        <x:v>江湾会展运营</x:v>
      </x:c>
      <x:c r="E60" s="2" t="str">
        <x:v>客户侧受影响</x:v>
      </x:c>
      <x:c r="F60" s="2" t="str">
        <x:v>M26651283</x:v>
      </x:c>
      <x:c r="G60" s="2" t="str">
        <x:v>MA2607</x:v>
      </x:c>
      <x:c r="H60" s="8" t="str">
        <x:v>江湾会展运营会议区</x:v>
      </x:c>
      <x:c r="I60" s="8" t="str">
        <x:v>按截止时点停止使用并安排更换；截止后完工不倒写</x:v>
      </x:c>
      <x:c r="J60" s="8" t="str">
        <x:v>10-31审批、备件实到检验后发；预计11-02到货，预约待定（2026年）</x:v>
      </x:c>
      <x:c r="K60" s="8" t="str">
        <x:v>直营客户经理</x:v>
      </x:c>
      <x:c r="L60" s="8" t="str">
        <x:v>PD-1055；CT-1055；QTR-261029-02</x:v>
      </x:c>
      <x:c r="M60" s="8" t="str">
        <x:v>换件SN绑定、合格件凭证、功能复测、客户验收、拆件隔离/处置证据齐备后逐台关闭</x:v>
      </x:c>
      <x:c r="N60" s="8" t="str"/>
      <x:c r="O60" s="2" t="n">
        <x:v>1</x:v>
      </x:c>
    </x:row>
    <x:row r="61" ht="80" customHeight="1">
      <x:c r="A61" s="2" t="str">
        <x:v>QY2674599</x:v>
      </x:c>
      <x:c r="B61" s="2" t="str">
        <x:v>QY-B200</x:v>
      </x:c>
      <x:c r="C61" s="2" t="str">
        <x:v>C04</x:v>
      </x:c>
      <x:c r="D61" s="2" t="str">
        <x:v>松庭培训服务</x:v>
      </x:c>
      <x:c r="E61" s="2" t="str">
        <x:v>本轮排除</x:v>
      </x:c>
      <x:c r="F61" s="2" t="str">
        <x:v>M26697485</x:v>
      </x:c>
      <x:c r="G61" s="2" t="str">
        <x:v>MB2609</x:v>
      </x:c>
      <x:c r="H61" s="8" t="str">
        <x:v>松庭培训服务会议区</x:v>
      </x:c>
      <x:c r="I61" s="8" t="str">
        <x:v>现机不重复换件；追查拆出模组去向</x:v>
      </x:c>
      <x:c r="J61" s="8" t="str">
        <x:v>本轮不重复换件，关联旧机或拆件继续追踪</x:v>
      </x:c>
      <x:c r="K61" s="8" t="str">
        <x:v>直营客户经理</x:v>
      </x:c>
      <x:c r="L61" s="8" t="str">
        <x:v>PD-1022；CT-1022；QTR-261029-02；SV-1022-01；SV-1022-02；TR-1028；TR-1022</x:v>
      </x:c>
      <x:c r="M61" s="8" t="str">
        <x:v>保留排除依据；排除不等于关联事项已关闭</x:v>
      </x:c>
      <x:c r="N61" s="8" t="str"/>
      <x:c r="O61" s="2" t="n">
        <x:v>0</x:v>
      </x:c>
    </x:row>
    <x:row r="62" ht="80" customHeight="1">
      <x:c r="A62" s="2" t="str">
        <x:v>QY2675311</x:v>
      </x:c>
      <x:c r="B62" s="2" t="str">
        <x:v>QY-B200</x:v>
      </x:c>
      <x:c r="C62" s="2" t="str">
        <x:v>C10</x:v>
      </x:c>
      <x:c r="D62" s="2" t="str">
        <x:v>星浦企业服务</x:v>
      </x:c>
      <x:c r="E62" s="2" t="str">
        <x:v>客户侧受影响</x:v>
      </x:c>
      <x:c r="F62" s="2" t="str">
        <x:v>M26852482</x:v>
      </x:c>
      <x:c r="G62" s="2" t="str">
        <x:v>MB2607</x:v>
      </x:c>
      <x:c r="H62" s="8" t="str">
        <x:v>星浦企业服务会议区</x:v>
      </x:c>
      <x:c r="I62" s="8" t="str">
        <x:v>停止使用并更换合格模组；追溯周转来源</x:v>
      </x:c>
      <x:c r="J62" s="8" t="str">
        <x:v>10-31审批、备件实到检验后发；预计11-02到货，预约待定（2026年）</x:v>
      </x:c>
      <x:c r="K62" s="8" t="str">
        <x:v>直营客户经理</x:v>
      </x:c>
      <x:c r="L62" s="8" t="str">
        <x:v>PD-1028；CT-1028；QTR-261029-02；SV-1028-01；SV-1028-02；TR-1028</x:v>
      </x:c>
      <x:c r="M62" s="8" t="str">
        <x:v>换件SN绑定、合格件凭证、功能复测、客户验收、拆件隔离/处置证据齐备后逐台关闭</x:v>
      </x:c>
      <x:c r="N62" s="8" t="str"/>
      <x:c r="O62" s="2" t="n">
        <x:v>1</x:v>
      </x:c>
    </x:row>
    <x:row r="63" ht="80" customHeight="1">
      <x:c r="A63" s="2" t="str">
        <x:v>QY2675486</x:v>
      </x:c>
      <x:c r="B63" s="2" t="str">
        <x:v>QY-A100</x:v>
      </x:c>
      <x:c r="C63" s="2" t="str">
        <x:v>C15</x:v>
      </x:c>
      <x:c r="D63" s="2" t="str">
        <x:v>观澜会务管理</x:v>
      </x:c>
      <x:c r="E63" s="2" t="str">
        <x:v>厂内隔离受影响</x:v>
      </x:c>
      <x:c r="F63" s="2" t="str">
        <x:v>M26506457</x:v>
      </x:c>
      <x:c r="G63" s="2" t="str">
        <x:v>MA2607</x:v>
      </x:c>
      <x:c r="H63" s="8" t="str">
        <x:v>启曜返厂隔离区</x:v>
      </x:c>
      <x:c r="I63" s="8" t="str">
        <x:v>维持厂内隔离，核实内部备件和质检后处置；不得按报废结案</x:v>
      </x:c>
      <x:c r="J63" s="8" t="str">
        <x:v>保持隔离；11/06以后、内部库存及质检确认后处置</x:v>
      </x:c>
      <x:c r="K63" s="8" t="str">
        <x:v>厂内服务主管及客户经理同步</x:v>
      </x:c>
      <x:c r="L63" s="8" t="str">
        <x:v>PD-1033；CT-1033；QTR-261029-02；SV-1033-01；SV-1033-02</x:v>
      </x:c>
      <x:c r="M63" s="8" t="str">
        <x:v>隔离台账、内部修复/复测及质量放行，或报废批准和处置凭证；未实际处置不结案</x:v>
      </x:c>
      <x:c r="N63" s="8" t="str">
        <x:v>另有独立替换机QY2696180</x:v>
      </x:c>
      <x:c r="O63" s="2" t="n">
        <x:v>0</x:v>
      </x:c>
    </x:row>
    <x:row r="64" ht="80" customHeight="1">
      <x:c r="A64" s="2" t="str">
        <x:v>QY2676349</x:v>
      </x:c>
      <x:c r="B64" s="2" t="str">
        <x:v>QY-A100</x:v>
      </x:c>
      <x:c r="C64" s="2" t="str">
        <x:v>C08</x:v>
      </x:c>
      <x:c r="D64" s="2" t="str">
        <x:v>鸿屿咨询</x:v>
      </x:c>
      <x:c r="E64" s="2" t="str">
        <x:v>客户侧受影响</x:v>
      </x:c>
      <x:c r="F64" s="2" t="str">
        <x:v>M26980447</x:v>
      </x:c>
      <x:c r="G64" s="2" t="str">
        <x:v>MA2607</x:v>
      </x:c>
      <x:c r="H64" s="8" t="str">
        <x:v>鸿屿咨询会议区</x:v>
      </x:c>
      <x:c r="I64" s="8" t="str">
        <x:v>停止使用并更换合格模组；追溯周转来源</x:v>
      </x:c>
      <x:c r="J64" s="8" t="str">
        <x:v>10-31审批、备件实到检验后发；预计11-02到货，预约待定（2026年）</x:v>
      </x:c>
      <x:c r="K64" s="8" t="str">
        <x:v>直营客户经理</x:v>
      </x:c>
      <x:c r="L64" s="8" t="str">
        <x:v>PD-1026；CT-1026；QTR-261029-02；SV-1026-01；SV-1026-02；TR-1026</x:v>
      </x:c>
      <x:c r="M64" s="8" t="str">
        <x:v>换件SN绑定、合格件凭证、功能复测、客户验收、拆件隔离/处置证据齐备后逐台关闭</x:v>
      </x:c>
      <x:c r="N64" s="8" t="str"/>
      <x:c r="O64" s="2" t="n">
        <x:v>1</x:v>
      </x:c>
    </x:row>
    <x:row r="65" ht="80" customHeight="1">
      <x:c r="A65" s="2" t="str">
        <x:v>QY2678285</x:v>
      </x:c>
      <x:c r="B65" s="2" t="str">
        <x:v>QY-B200</x:v>
      </x:c>
      <x:c r="C65" s="2" t="str">
        <x:v>C12</x:v>
      </x:c>
      <x:c r="D65" s="2" t="str">
        <x:v>知行远程培训</x:v>
      </x:c>
      <x:c r="E65" s="2" t="str">
        <x:v>客户侧受影响</x:v>
      </x:c>
      <x:c r="F65" s="2" t="str">
        <x:v>M26754631</x:v>
      </x:c>
      <x:c r="G65" s="2" t="str">
        <x:v>MB2607</x:v>
      </x:c>
      <x:c r="H65" s="8" t="str">
        <x:v>知行远程培训会议区</x:v>
      </x:c>
      <x:c r="I65" s="8" t="str">
        <x:v>原机隔离停止业务，仅授权备用端维持服务；仍须安排永久换件</x:v>
      </x:c>
      <x:c r="J65" s="8" t="str">
        <x:v>11-04审批、备件实到检验后发；预计11-06到货，预约待定（2026年）</x:v>
      </x:c>
      <x:c r="K65" s="8" t="str">
        <x:v>直营客户经理</x:v>
      </x:c>
      <x:c r="L65" s="8" t="str">
        <x:v>PD-1047；CT-1047；QTR-261029-02；SV-1047-01</x:v>
      </x:c>
      <x:c r="M65" s="8" t="str">
        <x:v>换件SN绑定、合格件凭证、功能复测、客户验收、拆件隔离/处置证据齐备后逐台关闭</x:v>
      </x:c>
      <x:c r="N65" s="8" t="str"/>
      <x:c r="O65" s="2" t="n">
        <x:v>1</x:v>
      </x:c>
    </x:row>
    <x:row r="66" ht="80" customHeight="1">
      <x:c r="A66" s="2" t="str">
        <x:v>QY2678640</x:v>
      </x:c>
      <x:c r="B66" s="2" t="str">
        <x:v>QY-B200</x:v>
      </x:c>
      <x:c r="C66" s="2" t="str">
        <x:v>C12</x:v>
      </x:c>
      <x:c r="D66" s="2" t="str">
        <x:v>知行远程培训</x:v>
      </x:c>
      <x:c r="E66" s="2" t="str">
        <x:v>客户侧受影响</x:v>
      </x:c>
      <x:c r="F66" s="2" t="str">
        <x:v>M26296760</x:v>
      </x:c>
      <x:c r="G66" s="2" t="str">
        <x:v>MB2607</x:v>
      </x:c>
      <x:c r="H66" s="8" t="str">
        <x:v>知行远程培训会议区</x:v>
      </x:c>
      <x:c r="I66" s="8" t="str">
        <x:v>停止使用并更换合格模组</x:v>
      </x:c>
      <x:c r="J66" s="8" t="str">
        <x:v>11-04审批、备件实到检验后发；预计11-06到货，预约待定（2026年）</x:v>
      </x:c>
      <x:c r="K66" s="8" t="str">
        <x:v>直营客户经理</x:v>
      </x:c>
      <x:c r="L66" s="8" t="str">
        <x:v>PD-1012；CT-1012；QTR-261029-02；SV-1012-01；SV-1012-02</x:v>
      </x:c>
      <x:c r="M66" s="8" t="str">
        <x:v>换件SN绑定、合格件凭证、功能复测、客户验收、拆件隔离/处置证据齐备后逐台关闭</x:v>
      </x:c>
      <x:c r="N66" s="8" t="str"/>
      <x:c r="O66" s="2" t="n">
        <x:v>1</x:v>
      </x:c>
    </x:row>
    <x:row r="67" ht="80" customHeight="1">
      <x:c r="A67" s="2" t="str">
        <x:v>QY2683063</x:v>
      </x:c>
      <x:c r="B67" s="2" t="str">
        <x:v>QY-A100</x:v>
      </x:c>
      <x:c r="C67" s="2" t="str">
        <x:v>C03</x:v>
      </x:c>
      <x:c r="D67" s="2" t="str">
        <x:v>海澄设计中心</x:v>
      </x:c>
      <x:c r="E67" s="2" t="str">
        <x:v>客户侧受影响</x:v>
      </x:c>
      <x:c r="F67" s="2" t="str">
        <x:v>M26177202</x:v>
      </x:c>
      <x:c r="G67" s="2" t="str">
        <x:v>MA2607</x:v>
      </x:c>
      <x:c r="H67" s="8" t="str">
        <x:v>海澄设计中心会议区</x:v>
      </x:c>
      <x:c r="I67" s="8" t="str">
        <x:v>按截止时点停止使用并安排更换；截止后完工不倒写</x:v>
      </x:c>
      <x:c r="J67" s="8" t="str">
        <x:v>10-31审批、备件实到检验后发；预计11-02到货，预约待定（2026年）</x:v>
      </x:c>
      <x:c r="K67" s="8" t="str">
        <x:v>直营客户经理</x:v>
      </x:c>
      <x:c r="L67" s="8" t="str">
        <x:v>PD-1057；CT-1057；QTR-261029-02</x:v>
      </x:c>
      <x:c r="M67" s="8" t="str">
        <x:v>换件SN绑定、合格件凭证、功能复测、客户验收、拆件隔离/处置证据齐备后逐台关闭</x:v>
      </x:c>
      <x:c r="N67" s="8" t="str"/>
      <x:c r="O67" s="2" t="n">
        <x:v>1</x:v>
      </x:c>
    </x:row>
    <x:row r="68" ht="80" customHeight="1">
      <x:c r="A68" s="2" t="str">
        <x:v>QY2685088</x:v>
      </x:c>
      <x:c r="B68" s="2" t="str">
        <x:v>QY-B200</x:v>
      </x:c>
      <x:c r="C68" s="2" t="str">
        <x:v>C17</x:v>
      </x:c>
      <x:c r="D68" s="2" t="str">
        <x:v>启明创研中心</x:v>
      </x:c>
      <x:c r="E68" s="2" t="str">
        <x:v>本轮排除</x:v>
      </x:c>
      <x:c r="F68" s="2" t="str">
        <x:v>M26369517</x:v>
      </x:c>
      <x:c r="G68" s="2" t="str">
        <x:v>MB2609</x:v>
      </x:c>
      <x:c r="H68" s="8" t="str">
        <x:v>启明创研中心会议区</x:v>
      </x:c>
      <x:c r="I68" s="8" t="str">
        <x:v>保留已换合格及验收依据，本轮不重复换件</x:v>
      </x:c>
      <x:c r="J68" s="8" t="str">
        <x:v>本轮不重复换件，关联旧机或拆件继续追踪</x:v>
      </x:c>
      <x:c r="K68" s="8" t="str">
        <x:v>直营客户经理</x:v>
      </x:c>
      <x:c r="L68" s="8" t="str">
        <x:v>PD-1017；CT-1017；QTR-261029-02；SV-1017-01；SV-1017-02</x:v>
      </x:c>
      <x:c r="M68" s="8" t="str">
        <x:v>保留排除依据；排除不等于关联事项已关闭</x:v>
      </x:c>
      <x:c r="N68" s="8" t="str"/>
      <x:c r="O68" s="2" t="n">
        <x:v>0</x:v>
      </x:c>
    </x:row>
    <x:row r="69" ht="80" customHeight="1">
      <x:c r="A69" s="2" t="str">
        <x:v>QY2685510</x:v>
      </x:c>
      <x:c r="B69" s="2" t="str">
        <x:v>QY-B200</x:v>
      </x:c>
      <x:c r="C69" s="2" t="str">
        <x:v>C06</x:v>
      </x:c>
      <x:c r="D69" s="2" t="str">
        <x:v>北辰数研中心</x:v>
      </x:c>
      <x:c r="E69" s="2" t="str">
        <x:v>待核实</x:v>
      </x:c>
      <x:c r="F69" s="2" t="str">
        <x:v>待核实</x:v>
      </x:c>
      <x:c r="G69" s="2" t="str">
        <x:v>待核实</x:v>
      </x:c>
      <x:c r="H69" s="8" t="str">
        <x:v>北辰数研中心会议区</x:v>
      </x:c>
      <x:c r="I69" s="8" t="str">
        <x:v>先暂停使用并核验模组身份；按核验结果进入更换或排除</x:v>
      </x:c>
      <x:c r="J69" s="8" t="str">
        <x:v>先核验；各型号暂留3件上界，未核实不承诺最终更换数量</x:v>
      </x:c>
      <x:c r="K69" s="8" t="str">
        <x:v>直营客户经理</x:v>
      </x:c>
      <x:c r="L69" s="8" t="str">
        <x:v>PD-1042；CT-1042；QTR-261029-02；SV-1042-01</x:v>
      </x:c>
      <x:c r="M69" s="8" t="str">
        <x:v>核验现机SN、照片及批次，确定更换或排除后留证</x:v>
      </x:c>
      <x:c r="N69" s="8" t="str"/>
      <x:c r="O69" s="2" t="n">
        <x:v>0</x:v>
      </x:c>
    </x:row>
    <x:row r="70" ht="80" customHeight="1">
      <x:c r="A70" s="2" t="str">
        <x:v>QY2691025</x:v>
      </x:c>
      <x:c r="B70" s="2" t="str">
        <x:v>QY-B200</x:v>
      </x:c>
      <x:c r="C70" s="2" t="str">
        <x:v>C04</x:v>
      </x:c>
      <x:c r="D70" s="2" t="str">
        <x:v>松庭培训服务</x:v>
      </x:c>
      <x:c r="E70" s="2" t="str">
        <x:v>客户侧受影响</x:v>
      </x:c>
      <x:c r="F70" s="2" t="str">
        <x:v>M26284582</x:v>
      </x:c>
      <x:c r="G70" s="2" t="str">
        <x:v>MB2607</x:v>
      </x:c>
      <x:c r="H70" s="8" t="str">
        <x:v>松庭培训服务会议区</x:v>
      </x:c>
      <x:c r="I70" s="8" t="str">
        <x:v>按截止时点停止使用并安排更换；截止后完工不倒写</x:v>
      </x:c>
      <x:c r="J70" s="8" t="str">
        <x:v>11-04审批、备件实到检验后发；预计11-06到货，预约待定（2026年）</x:v>
      </x:c>
      <x:c r="K70" s="8" t="str">
        <x:v>直营客户经理</x:v>
      </x:c>
      <x:c r="L70" s="8" t="str">
        <x:v>PD-1058；CT-1058；QTR-261029-02</x:v>
      </x:c>
      <x:c r="M70" s="8" t="str">
        <x:v>换件SN绑定、合格件凭证、功能复测、客户验收、拆件隔离/处置证据齐备后逐台关闭</x:v>
      </x:c>
      <x:c r="N70" s="8" t="str"/>
      <x:c r="O70" s="2" t="n">
        <x:v>1</x:v>
      </x:c>
    </x:row>
    <x:row r="71" ht="80" customHeight="1">
      <x:c r="A71" s="2" t="str">
        <x:v>QY2691154</x:v>
      </x:c>
      <x:c r="B71" s="2" t="str">
        <x:v>QY-B200</x:v>
      </x:c>
      <x:c r="C71" s="2" t="str">
        <x:v>C12</x:v>
      </x:c>
      <x:c r="D71" s="2" t="str">
        <x:v>知行远程培训</x:v>
      </x:c>
      <x:c r="E71" s="2" t="str">
        <x:v>客户侧受影响</x:v>
      </x:c>
      <x:c r="F71" s="2" t="str">
        <x:v>M26268732</x:v>
      </x:c>
      <x:c r="G71" s="2" t="str">
        <x:v>MB2607</x:v>
      </x:c>
      <x:c r="H71" s="8" t="str">
        <x:v>知行远程培训会议区</x:v>
      </x:c>
      <x:c r="I71" s="8" t="str">
        <x:v>原机隔离停止业务，仅授权备用端维持服务；仍须安排永久换件</x:v>
      </x:c>
      <x:c r="J71" s="8" t="str">
        <x:v>11-04审批、备件实到检验后发；预计11-06到货，预约待定（2026年）</x:v>
      </x:c>
      <x:c r="K71" s="8" t="str">
        <x:v>直营客户经理</x:v>
      </x:c>
      <x:c r="L71" s="8" t="str">
        <x:v>PD-1048；CT-1048；QTR-261029-02；SV-1048-01</x:v>
      </x:c>
      <x:c r="M71" s="8" t="str">
        <x:v>换件SN绑定、合格件凭证、功能复测、客户验收、拆件隔离/处置证据齐备后逐台关闭</x:v>
      </x:c>
      <x:c r="N71" s="8" t="str"/>
      <x:c r="O71" s="2" t="n">
        <x:v>1</x:v>
      </x:c>
    </x:row>
    <x:row r="72" ht="80" customHeight="1">
      <x:c r="A72" s="2" t="str">
        <x:v>QY2694296</x:v>
      </x:c>
      <x:c r="B72" s="2" t="str">
        <x:v>QY-B200</x:v>
      </x:c>
      <x:c r="C72" s="2" t="str">
        <x:v>C06</x:v>
      </x:c>
      <x:c r="D72" s="2" t="str">
        <x:v>北辰数研中心</x:v>
      </x:c>
      <x:c r="E72" s="2" t="str">
        <x:v>客户侧受影响</x:v>
      </x:c>
      <x:c r="F72" s="2" t="str">
        <x:v>M26314542</x:v>
      </x:c>
      <x:c r="G72" s="2" t="str">
        <x:v>MB2607</x:v>
      </x:c>
      <x:c r="H72" s="8" t="str">
        <x:v>北辰数研中心会议区</x:v>
      </x:c>
      <x:c r="I72" s="8" t="str">
        <x:v>停止使用并更换合格模组；领料不代表安装完成</x:v>
      </x:c>
      <x:c r="J72" s="8" t="str">
        <x:v>11-04审批、备件实到检验后发；预计11-06到货，预约待定（2026年）</x:v>
      </x:c>
      <x:c r="K72" s="8" t="str">
        <x:v>直营客户经理</x:v>
      </x:c>
      <x:c r="L72" s="8" t="str">
        <x:v>PD-1006；CT-1006；QTR-261029-02；SV-1006-01；SV-1006-02</x:v>
      </x:c>
      <x:c r="M72" s="8" t="str">
        <x:v>换件SN绑定、合格件凭证、功能复测、客户验收、拆件隔离/处置证据齐备后逐台关闭</x:v>
      </x:c>
      <x:c r="N72" s="8" t="str"/>
      <x:c r="O72" s="2" t="n">
        <x:v>1</x:v>
      </x:c>
    </x:row>
    <x:row r="73" ht="80" customHeight="1">
      <x:c r="A73" s="2" t="str">
        <x:v>QY2696180</x:v>
      </x:c>
      <x:c r="B73" s="2" t="str">
        <x:v>QY-A100</x:v>
      </x:c>
      <x:c r="C73" s="2" t="str">
        <x:v>C15</x:v>
      </x:c>
      <x:c r="D73" s="2" t="str">
        <x:v>观澜会务管理</x:v>
      </x:c>
      <x:c r="E73" s="2" t="str">
        <x:v>本轮排除</x:v>
      </x:c>
      <x:c r="F73" s="2" t="str">
        <x:v>M26155879</x:v>
      </x:c>
      <x:c r="G73" s="2" t="str">
        <x:v>MA2609</x:v>
      </x:c>
      <x:c r="H73" s="8" t="str">
        <x:v>观澜会务管理会议区</x:v>
      </x:c>
      <x:c r="I73" s="8" t="str">
        <x:v>独立登记替换机的合格状态，不与返厂旧机相互抵销</x:v>
      </x:c>
      <x:c r="J73" s="8" t="str">
        <x:v>本轮不重复换件，关联旧机或拆件继续追踪</x:v>
      </x:c>
      <x:c r="K73" s="8" t="str">
        <x:v>直营客户经理</x:v>
      </x:c>
      <x:c r="L73" s="8" t="str">
        <x:v>PD-1069；CT-1069；QTR-261029-02；SV-1069-01</x:v>
      </x:c>
      <x:c r="M73" s="8" t="str">
        <x:v>保留排除依据；排除不等于关联事项已关闭</x:v>
      </x:c>
      <x:c r="N73" s="8" t="str">
        <x:v>替换机对应旧机QY2675486</x:v>
      </x:c>
      <x:c r="O73" s="2" t="n">
        <x:v>0</x:v>
      </x:c>
    </x:row>
    <x:row r="74" ht="80" customHeight="1">
      <x:c r="A74" s="2" t="str">
        <x:v>QY2696376</x:v>
      </x:c>
      <x:c r="B74" s="2" t="str">
        <x:v>QY-B200</x:v>
      </x:c>
      <x:c r="C74" s="2" t="str">
        <x:v>C14</x:v>
      </x:c>
      <x:c r="D74" s="2" t="str">
        <x:v>澄岳教育科技</x:v>
      </x:c>
      <x:c r="E74" s="2" t="str">
        <x:v>客户侧受影响</x:v>
      </x:c>
      <x:c r="F74" s="2" t="str">
        <x:v>M26972745</x:v>
      </x:c>
      <x:c r="G74" s="2" t="str">
        <x:v>MB2607</x:v>
      </x:c>
      <x:c r="H74" s="8" t="str">
        <x:v>澄岳教育科技会议区</x:v>
      </x:c>
      <x:c r="I74" s="8" t="str">
        <x:v>通过D02联系现持有人停用换件，取得逐台转达回执</x:v>
      </x:c>
      <x:c r="J74" s="8" t="str">
        <x:v>11-04审批、备件实到检验后发；预计11-06到货，预约待定（2026年）</x:v>
      </x:c>
      <x:c r="K74" s="8" t="str">
        <x:v>D02渠道转达并回收现持有人逐台确认</x:v>
      </x:c>
      <x:c r="L74" s="8" t="str">
        <x:v>PD-1064；CT-1064；QTR-261029-02；CH-1064</x:v>
      </x:c>
      <x:c r="M74" s="8" t="str">
        <x:v>换件SN绑定、合格件凭证、功能复测、客户验收、拆件隔离/处置证据齐备后逐台关闭</x:v>
      </x:c>
      <x:c r="N74" s="8" t="str"/>
      <x:c r="O74" s="2" t="n">
        <x:v>1</x:v>
      </x:c>
    </x:row>
    <x:row r="75" ht="80" customHeight="1">
      <x:c r="A75" s="2" t="str">
        <x:v>QY2696492</x:v>
      </x:c>
      <x:c r="B75" s="2" t="str">
        <x:v>QY-A100</x:v>
      </x:c>
      <x:c r="C75" s="2" t="str">
        <x:v>C02</x:v>
      </x:c>
      <x:c r="D75" s="2" t="str">
        <x:v>临浦科创园</x:v>
      </x:c>
      <x:c r="E75" s="2" t="str">
        <x:v>客户侧受影响</x:v>
      </x:c>
      <x:c r="F75" s="2" t="str">
        <x:v>M26638488</x:v>
      </x:c>
      <x:c r="G75" s="2" t="str">
        <x:v>MA2607</x:v>
      </x:c>
      <x:c r="H75" s="8" t="str">
        <x:v>临浦科创园会议区</x:v>
      </x:c>
      <x:c r="I75" s="8" t="str">
        <x:v>停止使用并更换合格模组；领料不代表安装完成</x:v>
      </x:c>
      <x:c r="J75" s="8" t="str">
        <x:v>10-31审批、备件实到检验后发；预计11-02到货，预约待定（2026年）</x:v>
      </x:c>
      <x:c r="K75" s="8" t="str">
        <x:v>直营客户经理</x:v>
      </x:c>
      <x:c r="L75" s="8" t="str">
        <x:v>PD-1002；CT-1002；QTR-261029-02；SV-1002-01；SV-1002-02</x:v>
      </x:c>
      <x:c r="M75" s="8" t="str">
        <x:v>换件SN绑定、合格件凭证、功能复测、客户验收、拆件隔离/处置证据齐备后逐台关闭</x:v>
      </x:c>
      <x:c r="N75" s="8" t="str"/>
      <x:c r="O75" s="2" t="n">
        <x:v>1</x:v>
      </x:c>
    </x:row>
    <x:row r="76" ht="80" customHeight="1">
      <x:c r="A76" s="2" t="str">
        <x:v>QY2696526</x:v>
      </x:c>
      <x:c r="B76" s="2" t="str">
        <x:v>QY-B200</x:v>
      </x:c>
      <x:c r="C76" s="2" t="str">
        <x:v>C18</x:v>
      </x:c>
      <x:c r="D76" s="2" t="str">
        <x:v>云岸协作空间</x:v>
      </x:c>
      <x:c r="E76" s="2" t="str">
        <x:v>本轮排除</x:v>
      </x:c>
      <x:c r="F76" s="2" t="str">
        <x:v>M26430348</x:v>
      </x:c>
      <x:c r="G76" s="2" t="str">
        <x:v>MB2609</x:v>
      </x:c>
      <x:c r="H76" s="8" t="str">
        <x:v>云岸协作空间会议区</x:v>
      </x:c>
      <x:c r="I76" s="8" t="str">
        <x:v>保留已换合格及验收依据，本轮不重复换件</x:v>
      </x:c>
      <x:c r="J76" s="8" t="str">
        <x:v>本轮不重复换件，关联旧机或拆件继续追踪</x:v>
      </x:c>
      <x:c r="K76" s="8" t="str">
        <x:v>直营客户经理</x:v>
      </x:c>
      <x:c r="L76" s="8" t="str">
        <x:v>PD-1018；CT-1018；QTR-261029-02；SV-1018-01；SV-1018-02</x:v>
      </x:c>
      <x:c r="M76" s="8" t="str">
        <x:v>保留排除依据；排除不等于关联事项已关闭</x:v>
      </x:c>
      <x:c r="N76" s="8" t="str"/>
      <x:c r="O76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4" hidden="0" customWidth="1"/>
    <x:col min="10" max="10" width="18" hidden="0" customWidth="1"/>
    <x:col min="11" max="11" width="18" hidden="0" customWidth="1"/>
    <x:col min="12" max="12" width="73" hidden="0" customWidth="1"/>
  </x:cols>
  <x:sheetData>
    <x:row r="1" ht="24" customHeight="1">
      <x:c r="A1" s="3" t="str">
        <x:v>备件可用量与分批安排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7" t="str">
        <x:v>料号</x:v>
      </x:c>
      <x:c r="B4" s="7" t="str">
        <x:v>适配型号</x:v>
      </x:c>
      <x:c r="C4" s="7" t="str">
        <x:v>实存</x:v>
      </x:c>
      <x:c r="D4" s="7" t="str">
        <x:v>正式预留</x:v>
      </x:c>
      <x:c r="E4" s="7" t="str">
        <x:v>退回待检</x:v>
      </x:c>
      <x:c r="F4" s="7" t="str">
        <x:v>可用量</x:v>
      </x:c>
      <x:c r="G4" s="7" t="str">
        <x:v>客户侧更换需求</x:v>
      </x:c>
      <x:c r="H4" s="7" t="str">
        <x:v>待核预留上界</x:v>
      </x:c>
      <x:c r="I4" s="7" t="str">
        <x:v>已确认11/04到货</x:v>
      </x:c>
      <x:c r="J4" s="7" t="str">
        <x:v>首批数量</x:v>
      </x:c>
      <x:c r="K4" s="7" t="str">
        <x:v>后批数量</x:v>
      </x:c>
      <x:c r="L4" s="7" t="str">
        <x:v>条件</x:v>
      </x:c>
    </x:row>
    <x:row r="5" ht="58" customHeight="1">
      <x:c r="A5" s="2" t="str">
        <x:v>SA2</x:v>
      </x:c>
      <x:c r="B5" s="2" t="str">
        <x:v>QY-A100</x:v>
      </x:c>
      <x:c r="C5" s="2" t="n">
        <x:v>32</x:v>
      </x:c>
      <x:c r="D5" s="2" t="n">
        <x:v>5</x:v>
      </x:c>
      <x:c r="E5" s="2" t="n">
        <x:v>3</x:v>
      </x:c>
      <x:c r="F5" s="2" t="n">
        <x:f>C5-D5-E5</x:f>
        <x:v>24</x:v>
      </x:c>
      <x:c r="G5" s="2" t="n">
        <x:f>COUNTIFS(逐台处置!$B$5:$B$76,B5,逐台处置!$E$5:$E$76,"客户侧受影响")</x:f>
        <x:v>18</x:v>
      </x:c>
      <x:c r="H5" s="2" t="n">
        <x:v>3</x:v>
      </x:c>
      <x:c r="I5" s="2" t="n">
        <x:v>0</x:v>
      </x:c>
      <x:c r="J5" s="2" t="n">
        <x:f>MIN(F5,G5)</x:f>
        <x:v>18</x:v>
      </x:c>
      <x:c r="K5" s="2" t="n">
        <x:f>G5-J5</x:f>
        <x:v>0</x:v>
      </x:c>
      <x:c r="L5" s="8" t="str">
        <x:v>10/31审批后可发；3件待核预留不等于确定需求</x:v>
      </x:c>
    </x:row>
    <x:row r="6" ht="58" customHeight="1">
      <x:c r="A6" s="2" t="str">
        <x:v>SB2</x:v>
      </x:c>
      <x:c r="B6" s="2" t="str">
        <x:v>QY-B200</x:v>
      </x:c>
      <x:c r="C6" s="2" t="n">
        <x:v>22</x:v>
      </x:c>
      <x:c r="D6" s="2" t="n">
        <x:v>6</x:v>
      </x:c>
      <x:c r="E6" s="2" t="n">
        <x:v>4</x:v>
      </x:c>
      <x:c r="F6" s="2" t="n">
        <x:f>C6-D6-E6</x:f>
        <x:v>12</x:v>
      </x:c>
      <x:c r="G6" s="2" t="n">
        <x:f>COUNTIFS(逐台处置!$B$5:$B$76,B6,逐台处置!$E$5:$E$76,"客户侧受影响")</x:f>
        <x:v>18</x:v>
      </x:c>
      <x:c r="H6" s="2" t="n">
        <x:v>3</x:v>
      </x:c>
      <x:c r="I6" s="2" t="n">
        <x:v>12</x:v>
      </x:c>
      <x:c r="J6" s="2" t="n">
        <x:f>MIN(F6,G6)</x:f>
        <x:v>12</x:v>
      </x:c>
      <x:c r="K6" s="2" t="n">
        <x:f>G6-J6</x:f>
        <x:v>6</x:v>
      </x:c>
      <x:c r="L6" s="8" t="str">
        <x:v>已确认11/04到货12，实到检验通过后再发；待核预留亦待该到货；未批10件不计承诺</x:v>
      </x:c>
    </x:row>
    <x:row r="7" ht="58" customHeight="1">
      <x:c r="A7" s="2" t="str">
        <x:v>厂内隔离设备</x:v>
      </x:c>
      <x:c r="B7" s="2" t="str">
        <x:v>各型号3台</x:v>
      </x:c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8" t="str">
        <x:v>11/06以后内部处置，需核实内部库存及质检；不以已换替机抵销旧机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0" hidden="0" customWidth="1"/>
    <x:col min="4" max="4" width="23" hidden="0" customWidth="1"/>
    <x:col min="5" max="5" width="18" hidden="0" customWidth="1"/>
    <x:col min="6" max="6" width="17" hidden="0" customWidth="1"/>
    <x:col min="7" max="7" width="78" hidden="0" customWidth="1"/>
    <x:col min="8" max="8" width="19" hidden="0" customWidth="1"/>
    <x:col min="9" max="9" width="21" hidden="0" customWidth="1"/>
  </x:cols>
  <x:sheetData>
    <x:row r="1" ht="24" customHeight="1">
      <x:c r="A1" s="3" t="str">
        <x:v>客户联络与回执跟进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7" t="str">
        <x:v>客户号</x:v>
      </x:c>
      <x:c r="B4" s="7" t="str">
        <x:v>客户名称</x:v>
      </x:c>
      <x:c r="C4" s="7" t="str">
        <x:v>客户侧受影响</x:v>
      </x:c>
      <x:c r="D4" s="7" t="str">
        <x:v>厂内隔离受影响</x:v>
      </x:c>
      <x:c r="E4" s="7" t="str">
        <x:v>本轮排除</x:v>
      </x:c>
      <x:c r="F4" s="7" t="str">
        <x:v>待核实</x:v>
      </x:c>
      <x:c r="G4" s="7" t="str">
        <x:v>联络动作</x:v>
      </x:c>
      <x:c r="H4" s="7" t="str">
        <x:v>预约确认</x:v>
      </x:c>
      <x:c r="I4" s="7" t="str">
        <x:v>整轮结案状态</x:v>
      </x:c>
    </x:row>
    <x:row r="5" ht="57" customHeight="1">
      <x:c r="A5" s="2" t="str">
        <x:v>C01</x:v>
      </x:c>
      <x:c r="B5" s="2" t="str">
        <x:v>江湾会展运营</x:v>
      </x:c>
      <x:c r="C5" s="2" t="n">
        <x:f>COUNTIFS(逐台处置!$C$5:$C$76,A5,逐台处置!$E$5:$E$76,"客户侧受影响")</x:f>
        <x:v>2</x:v>
      </x:c>
      <x:c r="D5" s="2" t="n">
        <x:f>COUNTIFS(逐台处置!$C$5:$C$76,A5,逐台处置!$E$5:$E$76,"厂内隔离受影响")</x:f>
        <x:v>0</x:v>
      </x:c>
      <x:c r="E5" s="2" t="n">
        <x:f>COUNTIFS(逐台处置!$C$5:$C$76,A5,逐台处置!$E$5:$E$76,"本轮排除")</x:f>
        <x:v>1</x:v>
      </x:c>
      <x:c r="F5" s="2" t="n">
        <x:f>COUNTIFS(逐台处置!$C$5:$C$76,A5,逐台处置!$E$5:$E$76,"待核实")</x:f>
        <x:v>1</x:v>
      </x:c>
      <x:c r="G5" s="8" t="str">
        <x:v>客户经理核对逐台动作、联系人、停机窗口</x:v>
      </x:c>
      <x:c r="H5" s="2" t="str">
        <x:v>待确认</x:v>
      </x:c>
      <x:c r="I5" s="2" t="str">
        <x:v>未结案</x:v>
      </x:c>
    </x:row>
    <x:row r="6" ht="57" customHeight="1">
      <x:c r="A6" s="2" t="str">
        <x:v>C02</x:v>
      </x:c>
      <x:c r="B6" s="2" t="str">
        <x:v>临浦科创园</x:v>
      </x:c>
      <x:c r="C6" s="2" t="n">
        <x:f>COUNTIFS(逐台处置!$C$5:$C$76,A6,逐台处置!$E$5:$E$76,"客户侧受影响")</x:f>
        <x:v>2</x:v>
      </x:c>
      <x:c r="D6" s="2" t="n">
        <x:f>COUNTIFS(逐台处置!$C$5:$C$76,A6,逐台处置!$E$5:$E$76,"厂内隔离受影响")</x:f>
        <x:v>0</x:v>
      </x:c>
      <x:c r="E6" s="2" t="n">
        <x:f>COUNTIFS(逐台处置!$C$5:$C$76,A6,逐台处置!$E$5:$E$76,"本轮排除")</x:f>
        <x:v>1</x:v>
      </x:c>
      <x:c r="F6" s="2" t="n">
        <x:f>COUNTIFS(逐台处置!$C$5:$C$76,A6,逐台处置!$E$5:$E$76,"待核实")</x:f>
        <x:v>1</x:v>
      </x:c>
      <x:c r="G6" s="8" t="str">
        <x:v>客户经理核对逐台动作、联系人、停机窗口</x:v>
      </x:c>
      <x:c r="H6" s="2" t="str">
        <x:v>待确认</x:v>
      </x:c>
      <x:c r="I6" s="2" t="str">
        <x:v>未结案</x:v>
      </x:c>
    </x:row>
    <x:row r="7" ht="57" customHeight="1">
      <x:c r="A7" s="2" t="str">
        <x:v>C03</x:v>
      </x:c>
      <x:c r="B7" s="2" t="str">
        <x:v>海澄设计中心</x:v>
      </x:c>
      <x:c r="C7" s="2" t="n">
        <x:f>COUNTIFS(逐台处置!$C$5:$C$76,A7,逐台处置!$E$5:$E$76,"客户侧受影响")</x:f>
        <x:v>2</x:v>
      </x:c>
      <x:c r="D7" s="2" t="n">
        <x:f>COUNTIFS(逐台处置!$C$5:$C$76,A7,逐台处置!$E$5:$E$76,"厂内隔离受影响")</x:f>
        <x:v>0</x:v>
      </x:c>
      <x:c r="E7" s="2" t="n">
        <x:f>COUNTIFS(逐台处置!$C$5:$C$76,A7,逐台处置!$E$5:$E$76,"本轮排除")</x:f>
        <x:v>1</x:v>
      </x:c>
      <x:c r="F7" s="2" t="n">
        <x:f>COUNTIFS(逐台处置!$C$5:$C$76,A7,逐台处置!$E$5:$E$76,"待核实")</x:f>
        <x:v>1</x:v>
      </x:c>
      <x:c r="G7" s="8" t="str">
        <x:v>客户经理核对逐台动作、联系人、停机窗口</x:v>
      </x:c>
      <x:c r="H7" s="2" t="str">
        <x:v>待确认</x:v>
      </x:c>
      <x:c r="I7" s="2" t="str">
        <x:v>未结案</x:v>
      </x:c>
    </x:row>
    <x:row r="8" ht="57" customHeight="1">
      <x:c r="A8" s="2" t="str">
        <x:v>C04</x:v>
      </x:c>
      <x:c r="B8" s="2" t="str">
        <x:v>松庭培训服务</x:v>
      </x:c>
      <x:c r="C8" s="2" t="n">
        <x:f>COUNTIFS(逐台处置!$C$5:$C$76,A8,逐台处置!$E$5:$E$76,"客户侧受影响")</x:f>
        <x:v>2</x:v>
      </x:c>
      <x:c r="D8" s="2" t="n">
        <x:f>COUNTIFS(逐台处置!$C$5:$C$76,A8,逐台处置!$E$5:$E$76,"厂内隔离受影响")</x:f>
        <x:v>0</x:v>
      </x:c>
      <x:c r="E8" s="2" t="n">
        <x:f>COUNTIFS(逐台处置!$C$5:$C$76,A8,逐台处置!$E$5:$E$76,"本轮排除")</x:f>
        <x:v>1</x:v>
      </x:c>
      <x:c r="F8" s="2" t="n">
        <x:f>COUNTIFS(逐台处置!$C$5:$C$76,A8,逐台处置!$E$5:$E$76,"待核实")</x:f>
        <x:v>1</x:v>
      </x:c>
      <x:c r="G8" s="8" t="str">
        <x:v>客户经理核对逐台动作、联系人、停机窗口</x:v>
      </x:c>
      <x:c r="H8" s="2" t="str">
        <x:v>待确认</x:v>
      </x:c>
      <x:c r="I8" s="2" t="str">
        <x:v>未结案</x:v>
      </x:c>
    </x:row>
    <x:row r="9" ht="57" customHeight="1">
      <x:c r="A9" s="2" t="str">
        <x:v>C05</x:v>
      </x:c>
      <x:c r="B9" s="2" t="str">
        <x:v>云岚会议服务</x:v>
      </x:c>
      <x:c r="C9" s="2" t="n">
        <x:f>COUNTIFS(逐台处置!$C$5:$C$76,A9,逐台处置!$E$5:$E$76,"客户侧受影响")</x:f>
        <x:v>5</x:v>
      </x:c>
      <x:c r="D9" s="2" t="n">
        <x:f>COUNTIFS(逐台处置!$C$5:$C$76,A9,逐台处置!$E$5:$E$76,"厂内隔离受影响")</x:f>
        <x:v>0</x:v>
      </x:c>
      <x:c r="E9" s="2" t="n">
        <x:f>COUNTIFS(逐台处置!$C$5:$C$76,A9,逐台处置!$E$5:$E$76,"本轮排除")</x:f>
        <x:v>1</x:v>
      </x:c>
      <x:c r="F9" s="2" t="n">
        <x:f>COUNTIFS(逐台处置!$C$5:$C$76,A9,逐台处置!$E$5:$E$76,"待核实")</x:f>
        <x:v>1</x:v>
      </x:c>
      <x:c r="G9" s="8" t="str">
        <x:v>客户经理核对逐台动作、联系人、停机窗口</x:v>
      </x:c>
      <x:c r="H9" s="2" t="str">
        <x:v>待确认</x:v>
      </x:c>
      <x:c r="I9" s="2" t="str">
        <x:v>未结案</x:v>
      </x:c>
    </x:row>
    <x:row r="10" ht="57" customHeight="1">
      <x:c r="A10" s="2" t="str">
        <x:v>C06</x:v>
      </x:c>
      <x:c r="B10" s="2" t="str">
        <x:v>北辰数研中心</x:v>
      </x:c>
      <x:c r="C10" s="2" t="n">
        <x:f>COUNTIFS(逐台处置!$C$5:$C$76,A10,逐台处置!$E$5:$E$76,"客户侧受影响")</x:f>
        <x:v>2</x:v>
      </x:c>
      <x:c r="D10" s="2" t="n">
        <x:f>COUNTIFS(逐台处置!$C$5:$C$76,A10,逐台处置!$E$5:$E$76,"厂内隔离受影响")</x:f>
        <x:v>0</x:v>
      </x:c>
      <x:c r="E10" s="2" t="n">
        <x:f>COUNTIFS(逐台处置!$C$5:$C$76,A10,逐台处置!$E$5:$E$76,"本轮排除")</x:f>
        <x:v>1</x:v>
      </x:c>
      <x:c r="F10" s="2" t="n">
        <x:f>COUNTIFS(逐台处置!$C$5:$C$76,A10,逐台处置!$E$5:$E$76,"待核实")</x:f>
        <x:v>1</x:v>
      </x:c>
      <x:c r="G10" s="8" t="str">
        <x:v>客户经理核对逐台动作、联系人、停机窗口</x:v>
      </x:c>
      <x:c r="H10" s="2" t="str">
        <x:v>待确认</x:v>
      </x:c>
      <x:c r="I10" s="2" t="str">
        <x:v>未结案</x:v>
      </x:c>
    </x:row>
    <x:row r="11" ht="57" customHeight="1">
      <x:c r="A11" s="2" t="str">
        <x:v>C07</x:v>
      </x:c>
      <x:c r="B11" s="2" t="str">
        <x:v>青禾园区运营</x:v>
      </x:c>
      <x:c r="C11" s="2" t="n">
        <x:f>COUNTIFS(逐台处置!$C$5:$C$76,A11,逐台处置!$E$5:$E$76,"客户侧受影响")</x:f>
        <x:v>5</x:v>
      </x:c>
      <x:c r="D11" s="2" t="n">
        <x:f>COUNTIFS(逐台处置!$C$5:$C$76,A11,逐台处置!$E$5:$E$76,"厂内隔离受影响")</x:f>
        <x:v>0</x:v>
      </x:c>
      <x:c r="E11" s="2" t="n">
        <x:f>COUNTIFS(逐台处置!$C$5:$C$76,A11,逐台处置!$E$5:$E$76,"本轮排除")</x:f>
        <x:v>0</x:v>
      </x:c>
      <x:c r="F11" s="2" t="n">
        <x:f>COUNTIFS(逐台处置!$C$5:$C$76,A11,逐台处置!$E$5:$E$76,"待核实")</x:f>
        <x:v>0</x:v>
      </x:c>
      <x:c r="G11" s="8" t="str">
        <x:v>其中3台由D02转达并收回执，其余直营；逐台核对动作与预约</x:v>
      </x:c>
      <x:c r="H11" s="2" t="str">
        <x:v>待确认</x:v>
      </x:c>
      <x:c r="I11" s="2" t="str">
        <x:v>未结案</x:v>
      </x:c>
    </x:row>
    <x:row r="12" ht="57" customHeight="1">
      <x:c r="A12" s="2" t="str">
        <x:v>C08</x:v>
      </x:c>
      <x:c r="B12" s="2" t="str">
        <x:v>鸿屿咨询</x:v>
      </x:c>
      <x:c r="C12" s="2" t="n">
        <x:f>COUNTIFS(逐台处置!$C$5:$C$76,A12,逐台处置!$E$5:$E$76,"客户侧受影响")</x:f>
        <x:v>2</x:v>
      </x:c>
      <x:c r="D12" s="2" t="n">
        <x:f>COUNTIFS(逐台处置!$C$5:$C$76,A12,逐台处置!$E$5:$E$76,"厂内隔离受影响")</x:f>
        <x:v>0</x:v>
      </x:c>
      <x:c r="E12" s="2" t="n">
        <x:f>COUNTIFS(逐台处置!$C$5:$C$76,A12,逐台处置!$E$5:$E$76,"本轮排除")</x:f>
        <x:v>0</x:v>
      </x:c>
      <x:c r="F12" s="2" t="n">
        <x:f>COUNTIFS(逐台处置!$C$5:$C$76,A12,逐台处置!$E$5:$E$76,"待核实")</x:f>
        <x:v>0</x:v>
      </x:c>
      <x:c r="G12" s="8" t="str">
        <x:v>客户经理核对逐台动作、联系人、停机窗口</x:v>
      </x:c>
      <x:c r="H12" s="2" t="str">
        <x:v>待确认</x:v>
      </x:c>
      <x:c r="I12" s="2" t="str">
        <x:v>未结案</x:v>
      </x:c>
    </x:row>
    <x:row r="13" ht="57" customHeight="1">
      <x:c r="A13" s="2" t="str">
        <x:v>C09</x:v>
      </x:c>
      <x:c r="B13" s="2" t="str">
        <x:v>映河文化交流</x:v>
      </x:c>
      <x:c r="C13" s="2" t="n">
        <x:f>COUNTIFS(逐台处置!$C$5:$C$76,A13,逐台处置!$E$5:$E$76,"客户侧受影响")</x:f>
        <x:v>2</x:v>
      </x:c>
      <x:c r="D13" s="2" t="n">
        <x:f>COUNTIFS(逐台处置!$C$5:$C$76,A13,逐台处置!$E$5:$E$76,"厂内隔离受影响")</x:f>
        <x:v>0</x:v>
      </x:c>
      <x:c r="E13" s="2" t="n">
        <x:f>COUNTIFS(逐台处置!$C$5:$C$76,A13,逐台处置!$E$5:$E$76,"本轮排除")</x:f>
        <x:v>0</x:v>
      </x:c>
      <x:c r="F13" s="2" t="n">
        <x:f>COUNTIFS(逐台处置!$C$5:$C$76,A13,逐台处置!$E$5:$E$76,"待核实")</x:f>
        <x:v>0</x:v>
      </x:c>
      <x:c r="G13" s="8" t="str">
        <x:v>客户经理核对逐台动作、联系人、停机窗口</x:v>
      </x:c>
      <x:c r="H13" s="2" t="str">
        <x:v>待确认</x:v>
      </x:c>
      <x:c r="I13" s="2" t="str">
        <x:v>未结案</x:v>
      </x:c>
    </x:row>
    <x:row r="14" ht="57" customHeight="1">
      <x:c r="A14" s="2" t="str">
        <x:v>C10</x:v>
      </x:c>
      <x:c r="B14" s="2" t="str">
        <x:v>星浦企业服务</x:v>
      </x:c>
      <x:c r="C14" s="2" t="n">
        <x:f>COUNTIFS(逐台处置!$C$5:$C$76,A14,逐台处置!$E$5:$E$76,"客户侧受影响")</x:f>
        <x:v>2</x:v>
      </x:c>
      <x:c r="D14" s="2" t="n">
        <x:f>COUNTIFS(逐台处置!$C$5:$C$76,A14,逐台处置!$E$5:$E$76,"厂内隔离受影响")</x:f>
        <x:v>0</x:v>
      </x:c>
      <x:c r="E14" s="2" t="n">
        <x:f>COUNTIFS(逐台处置!$C$5:$C$76,A14,逐台处置!$E$5:$E$76,"本轮排除")</x:f>
        <x:v>0</x:v>
      </x:c>
      <x:c r="F14" s="2" t="n">
        <x:f>COUNTIFS(逐台处置!$C$5:$C$76,A14,逐台处置!$E$5:$E$76,"待核实")</x:f>
        <x:v>0</x:v>
      </x:c>
      <x:c r="G14" s="8" t="str">
        <x:v>客户经理核对逐台动作、联系人、停机窗口</x:v>
      </x:c>
      <x:c r="H14" s="2" t="str">
        <x:v>待确认</x:v>
      </x:c>
      <x:c r="I14" s="2" t="str">
        <x:v>未结案</x:v>
      </x:c>
    </x:row>
    <x:row r="15" ht="57" customHeight="1">
      <x:c r="A15" s="2" t="str">
        <x:v>C11</x:v>
      </x:c>
      <x:c r="B15" s="2" t="str">
        <x:v>东麓创新中心</x:v>
      </x:c>
      <x:c r="C15" s="2" t="n">
        <x:f>COUNTIFS(逐台处置!$C$5:$C$76,A15,逐台处置!$E$5:$E$76,"客户侧受影响")</x:f>
        <x:v>2</x:v>
      </x:c>
      <x:c r="D15" s="2" t="n">
        <x:f>COUNTIFS(逐台处置!$C$5:$C$76,A15,逐台处置!$E$5:$E$76,"厂内隔离受影响")</x:f>
        <x:v>0</x:v>
      </x:c>
      <x:c r="E15" s="2" t="n">
        <x:f>COUNTIFS(逐台处置!$C$5:$C$76,A15,逐台处置!$E$5:$E$76,"本轮排除")</x:f>
        <x:v>0</x:v>
      </x:c>
      <x:c r="F15" s="2" t="n">
        <x:f>COUNTIFS(逐台处置!$C$5:$C$76,A15,逐台处置!$E$5:$E$76,"待核实")</x:f>
        <x:v>0</x:v>
      </x:c>
      <x:c r="G15" s="8" t="str">
        <x:v>客户经理核对逐台动作、联系人、停机窗口</x:v>
      </x:c>
      <x:c r="H15" s="2" t="str">
        <x:v>待确认</x:v>
      </x:c>
      <x:c r="I15" s="2" t="str">
        <x:v>未结案</x:v>
      </x:c>
    </x:row>
    <x:row r="16" ht="57" customHeight="1">
      <x:c r="A16" s="2" t="str">
        <x:v>C12</x:v>
      </x:c>
      <x:c r="B16" s="2" t="str">
        <x:v>知行远程培训</x:v>
      </x:c>
      <x:c r="C16" s="2" t="n">
        <x:f>COUNTIFS(逐台处置!$C$5:$C$76,A16,逐台处置!$E$5:$E$76,"客户侧受影响")</x:f>
        <x:v>5</x:v>
      </x:c>
      <x:c r="D16" s="2" t="n">
        <x:f>COUNTIFS(逐台处置!$C$5:$C$76,A16,逐台处置!$E$5:$E$76,"厂内隔离受影响")</x:f>
        <x:v>0</x:v>
      </x:c>
      <x:c r="E16" s="2" t="n">
        <x:f>COUNTIFS(逐台处置!$C$5:$C$76,A16,逐台处置!$E$5:$E$76,"本轮排除")</x:f>
        <x:v>0</x:v>
      </x:c>
      <x:c r="F16" s="2" t="n">
        <x:f>COUNTIFS(逐台处置!$C$5:$C$76,A16,逐台处置!$E$5:$E$76,"待核实")</x:f>
        <x:v>0</x:v>
      </x:c>
      <x:c r="G16" s="8" t="str">
        <x:v>客户经理核对逐台动作、联系人、停机窗口</x:v>
      </x:c>
      <x:c r="H16" s="2" t="str">
        <x:v>待确认</x:v>
      </x:c>
      <x:c r="I16" s="2" t="str">
        <x:v>未结案</x:v>
      </x:c>
    </x:row>
    <x:row r="17" ht="57" customHeight="1">
      <x:c r="A17" s="2" t="str">
        <x:v>C13</x:v>
      </x:c>
      <x:c r="B17" s="2" t="str">
        <x:v>锦棠商务服务</x:v>
      </x:c>
      <x:c r="C17" s="2" t="n">
        <x:f>COUNTIFS(逐台处置!$C$5:$C$76,A17,逐台处置!$E$5:$E$76,"客户侧受影响")</x:f>
        <x:v>0</x:v>
      </x:c>
      <x:c r="D17" s="2" t="n">
        <x:f>COUNTIFS(逐台处置!$C$5:$C$76,A17,逐台处置!$E$5:$E$76,"厂内隔离受影响")</x:f>
        <x:v>1</x:v>
      </x:c>
      <x:c r="E17" s="2" t="n">
        <x:f>COUNTIFS(逐台处置!$C$5:$C$76,A17,逐台处置!$E$5:$E$76,"本轮排除")</x:f>
        <x:v>3</x:v>
      </x:c>
      <x:c r="F17" s="2" t="n">
        <x:f>COUNTIFS(逐台处置!$C$5:$C$76,A17,逐台处置!$E$5:$E$76,"待核实")</x:f>
        <x:v>0</x:v>
      </x:c>
      <x:c r="G17" s="8" t="str">
        <x:v>客户经理核对逐台动作、联系人、停机窗口</x:v>
      </x:c>
      <x:c r="H17" s="2" t="str">
        <x:v>待确认</x:v>
      </x:c>
      <x:c r="I17" s="2" t="str">
        <x:v>未结案</x:v>
      </x:c>
    </x:row>
    <x:row r="18" ht="57" customHeight="1">
      <x:c r="A18" s="2" t="str">
        <x:v>C14</x:v>
      </x:c>
      <x:c r="B18" s="2" t="str">
        <x:v>澄岳教育科技</x:v>
      </x:c>
      <x:c r="C18" s="2" t="n">
        <x:f>COUNTIFS(逐台处置!$C$5:$C$76,A18,逐台处置!$E$5:$E$76,"客户侧受影响")</x:f>
        <x:v>3</x:v>
      </x:c>
      <x:c r="D18" s="2" t="n">
        <x:f>COUNTIFS(逐台处置!$C$5:$C$76,A18,逐台处置!$E$5:$E$76,"厂内隔离受影响")</x:f>
        <x:v>1</x:v>
      </x:c>
      <x:c r="E18" s="2" t="n">
        <x:f>COUNTIFS(逐台处置!$C$5:$C$76,A18,逐台处置!$E$5:$E$76,"本轮排除")</x:f>
        <x:v>3</x:v>
      </x:c>
      <x:c r="F18" s="2" t="n">
        <x:f>COUNTIFS(逐台处置!$C$5:$C$76,A18,逐台处置!$E$5:$E$76,"待核实")</x:f>
        <x:v>0</x:v>
      </x:c>
      <x:c r="G18" s="8" t="str">
        <x:v>其中3台由D02转达并收回执，其余直营；逐台核对动作与预约</x:v>
      </x:c>
      <x:c r="H18" s="2" t="str">
        <x:v>待确认</x:v>
      </x:c>
      <x:c r="I18" s="2" t="str">
        <x:v>未结案</x:v>
      </x:c>
    </x:row>
    <x:row r="19" ht="57" customHeight="1">
      <x:c r="A19" s="2" t="str">
        <x:v>C15</x:v>
      </x:c>
      <x:c r="B19" s="2" t="str">
        <x:v>观澜会务管理</x:v>
      </x:c>
      <x:c r="C19" s="2" t="n">
        <x:f>COUNTIFS(逐台处置!$C$5:$C$76,A19,逐台处置!$E$5:$E$76,"客户侧受影响")</x:f>
        <x:v>0</x:v>
      </x:c>
      <x:c r="D19" s="2" t="n">
        <x:f>COUNTIFS(逐台处置!$C$5:$C$76,A19,逐台处置!$E$5:$E$76,"厂内隔离受影响")</x:f>
        <x:v>1</x:v>
      </x:c>
      <x:c r="E19" s="2" t="n">
        <x:f>COUNTIFS(逐台处置!$C$5:$C$76,A19,逐台处置!$E$5:$E$76,"本轮排除")</x:f>
        <x:v>3</x:v>
      </x:c>
      <x:c r="F19" s="2" t="n">
        <x:f>COUNTIFS(逐台处置!$C$5:$C$76,A19,逐台处置!$E$5:$E$76,"待核实")</x:f>
        <x:v>0</x:v>
      </x:c>
      <x:c r="G19" s="8" t="str">
        <x:v>客户经理核对逐台动作、联系人、停机窗口</x:v>
      </x:c>
      <x:c r="H19" s="2" t="str">
        <x:v>待确认</x:v>
      </x:c>
      <x:c r="I19" s="2" t="str">
        <x:v>未结案</x:v>
      </x:c>
    </x:row>
    <x:row r="20" ht="57" customHeight="1">
      <x:c r="A20" s="2" t="str">
        <x:v>C16</x:v>
      </x:c>
      <x:c r="B20" s="2" t="str">
        <x:v>合溪产业服务</x:v>
      </x:c>
      <x:c r="C20" s="2" t="n">
        <x:f>COUNTIFS(逐台处置!$C$5:$C$76,A20,逐台处置!$E$5:$E$76,"客户侧受影响")</x:f>
        <x:v>0</x:v>
      </x:c>
      <x:c r="D20" s="2" t="n">
        <x:f>COUNTIFS(逐台处置!$C$5:$C$76,A20,逐台处置!$E$5:$E$76,"厂内隔离受影响")</x:f>
        <x:v>1</x:v>
      </x:c>
      <x:c r="E20" s="2" t="n">
        <x:f>COUNTIFS(逐台处置!$C$5:$C$76,A20,逐台处置!$E$5:$E$76,"本轮排除")</x:f>
        <x:v>3</x:v>
      </x:c>
      <x:c r="F20" s="2" t="n">
        <x:f>COUNTIFS(逐台处置!$C$5:$C$76,A20,逐台处置!$E$5:$E$76,"待核实")</x:f>
        <x:v>0</x:v>
      </x:c>
      <x:c r="G20" s="8" t="str">
        <x:v>客户经理核对逐台动作、联系人、停机窗口</x:v>
      </x:c>
      <x:c r="H20" s="2" t="str">
        <x:v>待确认</x:v>
      </x:c>
      <x:c r="I20" s="2" t="str">
        <x:v>未结案</x:v>
      </x:c>
    </x:row>
    <x:row r="21" ht="57" customHeight="1">
      <x:c r="A21" s="2" t="str">
        <x:v>C17</x:v>
      </x:c>
      <x:c r="B21" s="2" t="str">
        <x:v>启明创研中心</x:v>
      </x:c>
      <x:c r="C21" s="2" t="n">
        <x:f>COUNTIFS(逐台处置!$C$5:$C$76,A21,逐台处置!$E$5:$E$76,"客户侧受影响")</x:f>
        <x:v>0</x:v>
      </x:c>
      <x:c r="D21" s="2" t="n">
        <x:f>COUNTIFS(逐台处置!$C$5:$C$76,A21,逐台处置!$E$5:$E$76,"厂内隔离受影响")</x:f>
        <x:v>1</x:v>
      </x:c>
      <x:c r="E21" s="2" t="n">
        <x:f>COUNTIFS(逐台处置!$C$5:$C$76,A21,逐台处置!$E$5:$E$76,"本轮排除")</x:f>
        <x:v>3</x:v>
      </x:c>
      <x:c r="F21" s="2" t="n">
        <x:f>COUNTIFS(逐台处置!$C$5:$C$76,A21,逐台处置!$E$5:$E$76,"待核实")</x:f>
        <x:v>0</x:v>
      </x:c>
      <x:c r="G21" s="8" t="str">
        <x:v>客户经理核对逐台动作、联系人、停机窗口</x:v>
      </x:c>
      <x:c r="H21" s="2" t="str">
        <x:v>待确认</x:v>
      </x:c>
      <x:c r="I21" s="2" t="str">
        <x:v>未结案</x:v>
      </x:c>
    </x:row>
    <x:row r="22" ht="57" customHeight="1">
      <x:c r="A22" s="2" t="str">
        <x:v>C18</x:v>
      </x:c>
      <x:c r="B22" s="2" t="str">
        <x:v>云岸协作空间</x:v>
      </x:c>
      <x:c r="C22" s="2" t="n">
        <x:f>COUNTIFS(逐台处置!$C$5:$C$76,A22,逐台处置!$E$5:$E$76,"客户侧受影响")</x:f>
        <x:v>0</x:v>
      </x:c>
      <x:c r="D22" s="2" t="n">
        <x:f>COUNTIFS(逐台处置!$C$5:$C$76,A22,逐台处置!$E$5:$E$76,"厂内隔离受影响")</x:f>
        <x:v>1</x:v>
      </x:c>
      <x:c r="E22" s="2" t="n">
        <x:f>COUNTIFS(逐台处置!$C$5:$C$76,A22,逐台处置!$E$5:$E$76,"本轮排除")</x:f>
        <x:v>3</x:v>
      </x:c>
      <x:c r="F22" s="2" t="n">
        <x:f>COUNTIFS(逐台处置!$C$5:$C$76,A22,逐台处置!$E$5:$E$76,"待核实")</x:f>
        <x:v>0</x:v>
      </x:c>
      <x:c r="G22" s="8" t="str">
        <x:v>客户经理核对逐台动作、联系人、停机窗口</x:v>
      </x:c>
      <x:c r="H22" s="2" t="str">
        <x:v>待确认</x:v>
      </x:c>
      <x:c r="I22" s="2" t="str">
        <x:v>未结案</x:v>
      </x:c>
    </x:row>
  </x:sheetData>
  <x:pageMargins left="0.7" right="0.7" top="0.75" bottom="0.75" header="0.3" footer="0.3"/>
</x:worksheet>
</file>