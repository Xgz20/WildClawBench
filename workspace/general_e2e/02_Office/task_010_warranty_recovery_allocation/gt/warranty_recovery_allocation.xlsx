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ed44ae4ae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追偿汇总" sheetId="1" r:id="R065a698c683b4642"/>
    <x:sheet xmlns:r="http://schemas.openxmlformats.org/officeDocument/2006/relationships" name="可追偿明细" sheetId="2" r:id="Ra65148d91dce4069"/>
    <x:sheet xmlns:r="http://schemas.openxmlformats.org/officeDocument/2006/relationships" name="不可追偿或待核查" sheetId="3" r:id="R17e2404716d3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5">
    <x:font>
      <x:sz val="11"/>
      <x:name val="Carlito"/>
    </x:font>
    <x:font>
      <x:sz val="10"/>
      <x:color rgb="FF243746"/>
      <x:name val="Microsoft YaHei"/>
    </x:font>
    <x:font>
      <x:b/>
      <x:sz val="10"/>
      <x:color rgb="FFFFFFFF"/>
      <x:name val="Microsoft YaHei"/>
    </x:font>
    <x:font>
      <x:b/>
      <x:sz val="14"/>
      <x:color rgb="FF243746"/>
      <x:name val="Microsoft YaHei"/>
    </x:font>
    <x:font>
      <x:i/>
      <x:sz val="10"/>
      <x:color rgb="FF546E7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84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c95d5f13c4c9a" /><Relationship Type="http://schemas.openxmlformats.org/officeDocument/2006/relationships/theme" Target="/xl/theme/theme1.xml" Id="Radf6633382404e45" /><Relationship Type="http://schemas.openxmlformats.org/officeDocument/2006/relationships/sharedStrings" Target="/xl/sharedStrings.xml" Id="R913d8ca1e4a6431f" /><Relationship Type="http://schemas.openxmlformats.org/officeDocument/2006/relationships/worksheet" Target="/xl/worksheets/sheet1.xml" Id="R065a698c683b4642" /><Relationship Type="http://schemas.openxmlformats.org/officeDocument/2006/relationships/worksheet" Target="/xl/worksheets/sheet2.xml" Id="Ra65148d91dce4069" /><Relationship Type="http://schemas.openxmlformats.org/officeDocument/2006/relationships/worksheet" Target="/xl/worksheets/sheet3.xml" Id="R17e2404716d341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4B63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5" customHeight="1">
      <x:c r="A1" s="7" t="str">
        <x:v>供应商保修追偿汇总</x:v>
      </x:c>
      <x:c r="B1" s="2"/>
      <x:c r="C1" s="2"/>
      <x:c r="D1" s="2"/>
      <x:c r="E1" s="2"/>
      <x:c r="F1" s="2"/>
    </x:row>
    <x:row r="2" ht="25" customHeight="1">
      <x:c r="A2" s="8" t="str">
        <x:v>单位：人民币元　模拟业务资料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34" customHeight="1">
      <x:c r="A4" s="6" t="str">
        <x:v>supplier</x:v>
      </x:c>
      <x:c r="B4" s="6" t="str">
        <x:v>claim_count</x:v>
      </x:c>
      <x:c r="C4" s="6" t="str">
        <x:v>gross_repair_cost</x:v>
      </x:c>
      <x:c r="D4" s="6" t="str">
        <x:v>already_recovered</x:v>
      </x:c>
      <x:c r="E4" s="6" t="str">
        <x:v>本次可追偿</x:v>
      </x:c>
      <x:c r="F4" s="6" t="str">
        <x:v>待核查金额</x:v>
      </x:c>
    </x:row>
    <x:row r="5" ht="30" customHeight="1">
      <x:c r="A5" s="2" t="str">
        <x:v>云岱模组</x:v>
      </x:c>
      <x:c r="B5" s="2" t="n">
        <x:f>COUNTIFS('可追偿明细'!$C$5:$C$26,A5)+COUNTIFS('不可追偿或待核查'!$C$5:$C$10,A5)</x:f>
        <x:v>2</x:v>
      </x:c>
      <x:c r="C5" s="9" t="n">
        <x:f>SUMIFS('可追偿明细'!$H$5:$H$26,'可追偿明细'!$C$5:$C$26,A5)+SUMIFS('不可追偿或待核查'!$H$5:$H$10,'不可追偿或待核查'!$C$5:$C$10,A5)</x:f>
        <x:v>3900</x:v>
      </x:c>
      <x:c r="D5" s="9" t="n">
        <x:f>SUMIFS('可追偿明细'!$J$5:$J$26,'可追偿明细'!$C$5:$C$26,A5)+SUMIFS('不可追偿或待核查'!$I$5:$I$10,'不可追偿或待核查'!$C$5:$C$10,A5)</x:f>
        <x:v>1100</x:v>
      </x:c>
      <x:c r="E5" s="9" t="n">
        <x:f>SUMIFS('可追偿明细'!$K$5:$K$26,'可追偿明细'!$C$5:$C$26,A5)</x:f>
        <x:v>1218</x:v>
      </x:c>
      <x:c r="F5" s="9" t="n">
        <x:f>SUMIFS('不可追偿或待核查'!$J$5:$J$10,'不可追偿或待核查'!$C$5:$C$10,A5)</x:f>
        <x:v>0</x:v>
      </x:c>
    </x:row>
    <x:row r="6" ht="30" customHeight="1">
      <x:c r="A6" s="2" t="str">
        <x:v>北陆材料</x:v>
      </x:c>
      <x:c r="B6" s="2" t="n">
        <x:f>COUNTIFS('可追偿明细'!$C$5:$C$26,A6)+COUNTIFS('不可追偿或待核查'!$C$5:$C$10,A6)</x:f>
        <x:v>5</x:v>
      </x:c>
      <x:c r="C6" s="9" t="n">
        <x:f>SUMIFS('可追偿明细'!$H$5:$H$26,'可追偿明细'!$C$5:$C$26,A6)+SUMIFS('不可追偿或待核查'!$H$5:$H$10,'不可追偿或待核查'!$C$5:$C$10,A6)</x:f>
        <x:v>7300</x:v>
      </x:c>
      <x:c r="D6" s="9" t="n">
        <x:f>SUMIFS('可追偿明细'!$J$5:$J$26,'可追偿明细'!$C$5:$C$26,A6)+SUMIFS('不可追偿或待核查'!$I$5:$I$10,'不可追偿或待核查'!$C$5:$C$10,A6)</x:f>
        <x:v>400</x:v>
      </x:c>
      <x:c r="E6" s="9" t="n">
        <x:f>SUMIFS('可追偿明细'!$K$5:$K$26,'可追偿明细'!$C$5:$C$26,A6)</x:f>
        <x:v>3198</x:v>
      </x:c>
      <x:c r="F6" s="9" t="n">
        <x:f>SUMIFS('不可追偿或待核查'!$J$5:$J$10,'不可追偿或待核查'!$C$5:$C$10,A6)</x:f>
        <x:v>1200</x:v>
      </x:c>
    </x:row>
    <x:row r="7" ht="30" customHeight="1">
      <x:c r="A7" s="2" t="str">
        <x:v>南衡传动</x:v>
      </x:c>
      <x:c r="B7" s="2" t="n">
        <x:f>COUNTIFS('可追偿明细'!$C$5:$C$26,A7)+COUNTIFS('不可追偿或待核查'!$C$5:$C$10,A7)</x:f>
        <x:v>5</x:v>
      </x:c>
      <x:c r="C7" s="9" t="n">
        <x:f>SUMIFS('可追偿明细'!$H$5:$H$26,'可追偿明细'!$C$5:$C$26,A7)+SUMIFS('不可追偿或待核查'!$H$5:$H$10,'不可追偿或待核查'!$C$5:$C$10,A7)</x:f>
        <x:v>12800</x:v>
      </x:c>
      <x:c r="D7" s="9" t="n">
        <x:f>SUMIFS('可追偿明细'!$J$5:$J$26,'可追偿明细'!$C$5:$C$26,A7)+SUMIFS('不可追偿或待核查'!$I$5:$I$10,'不可追偿或待核查'!$C$5:$C$10,A7)</x:f>
        <x:v>300</x:v>
      </x:c>
      <x:c r="E7" s="9" t="n">
        <x:f>SUMIFS('可追偿明细'!$K$5:$K$26,'可追偿明细'!$C$5:$C$26,A7)</x:f>
        <x:v>5652</x:v>
      </x:c>
      <x:c r="F7" s="9" t="n">
        <x:f>SUMIFS('不可追偿或待核查'!$J$5:$J$10,'不可追偿或待核查'!$C$5:$C$10,A7)</x:f>
        <x:v>2500</x:v>
      </x:c>
    </x:row>
    <x:row r="8" ht="30" customHeight="1">
      <x:c r="A8" s="2" t="str">
        <x:v>岚川组件</x:v>
      </x:c>
      <x:c r="B8" s="2" t="n">
        <x:f>COUNTIFS('可追偿明细'!$C$5:$C$26,A8)+COUNTIFS('不可追偿或待核查'!$C$5:$C$10,A8)</x:f>
        <x:v>7</x:v>
      </x:c>
      <x:c r="C8" s="9" t="n">
        <x:f>SUMIFS('可追偿明细'!$H$5:$H$26,'可追偿明细'!$C$5:$C$26,A8)+SUMIFS('不可追偿或待核查'!$H$5:$H$10,'不可追偿或待核查'!$C$5:$C$10,A8)</x:f>
        <x:v>7900</x:v>
      </x:c>
      <x:c r="D8" s="9" t="n">
        <x:f>SUMIFS('可追偿明细'!$J$5:$J$26,'可追偿明细'!$C$5:$C$26,A8)+SUMIFS('不可追偿或待核查'!$I$5:$I$10,'不可追偿或待核查'!$C$5:$C$10,A8)</x:f>
        <x:v>0</x:v>
      </x:c>
      <x:c r="E8" s="9" t="n">
        <x:f>SUMIFS('可追偿明细'!$K$5:$K$26,'可追偿明细'!$C$5:$C$26,A8)</x:f>
        <x:v>4773</x:v>
      </x:c>
      <x:c r="F8" s="9" t="n">
        <x:f>SUMIFS('不可追偿或待核查'!$J$5:$J$10,'不可追偿或待核查'!$C$5:$C$10,A8)</x:f>
        <x:v>0</x:v>
      </x:c>
    </x:row>
    <x:row r="9" ht="30" customHeight="1">
      <x:c r="A9" s="2" t="str">
        <x:v>星桥电子</x:v>
      </x:c>
      <x:c r="B9" s="2" t="n">
        <x:f>COUNTIFS('可追偿明细'!$C$5:$C$26,A9)+COUNTIFS('不可追偿或待核查'!$C$5:$C$10,A9)</x:f>
        <x:v>9</x:v>
      </x:c>
      <x:c r="C9" s="9" t="n">
        <x:f>SUMIFS('可追偿明细'!$H$5:$H$26,'可追偿明细'!$C$5:$C$26,A9)+SUMIFS('不可追偿或待核查'!$H$5:$H$10,'不可追偿或待核查'!$C$5:$C$10,A9)</x:f>
        <x:v>15600</x:v>
      </x:c>
      <x:c r="D9" s="9" t="n">
        <x:f>SUMIFS('可追偿明细'!$J$5:$J$26,'可追偿明细'!$C$5:$C$26,A9)+SUMIFS('不可追偿或待核查'!$I$5:$I$10,'不可追偿或待核查'!$C$5:$C$10,A9)</x:f>
        <x:v>2918</x:v>
      </x:c>
      <x:c r="E9" s="9" t="n">
        <x:f>SUMIFS('可追偿明细'!$K$5:$K$26,'可追偿明细'!$C$5:$C$26,A9)</x:f>
        <x:v>7087.2</x:v>
      </x:c>
      <x:c r="F9" s="9" t="n">
        <x:f>SUMIFS('不可追偿或待核查'!$J$5:$J$10,'不可追偿或待核查'!$C$5:$C$10,A9)</x:f>
        <x:v>1700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4B6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64" hidden="0" customWidth="1"/>
    <x:col min="13" max="13" width="64" hidden="0" customWidth="1"/>
  </x:cols>
  <x:sheetData>
    <x:row r="1" ht="25" customHeight="1">
      <x:c r="A1" s="7" t="str">
        <x:v>供应商保修追偿明细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8" t="str">
        <x:v>单位：人民币元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4" customHeight="1">
      <x:c r="A4" s="6" t="str">
        <x:v>claim_id</x:v>
      </x:c>
      <x:c r="B4" s="6" t="str">
        <x:v>event_chain_id</x:v>
      </x:c>
      <x:c r="C4" s="6" t="str">
        <x:v>supplier</x:v>
      </x:c>
      <x:c r="D4" s="6" t="str">
        <x:v>policy_version</x:v>
      </x:c>
      <x:c r="E4" s="6" t="str">
        <x:v>contract_exception</x:v>
      </x:c>
      <x:c r="F4" s="6" t="str">
        <x:v>分摊比例</x:v>
      </x:c>
      <x:c r="G4" s="6" t="str">
        <x:v>责任比例</x:v>
      </x:c>
      <x:c r="H4" s="6" t="str">
        <x:v>维修成本</x:v>
      </x:c>
      <x:c r="I4" s="6" t="str">
        <x:v>封顶金额</x:v>
      </x:c>
      <x:c r="J4" s="6" t="str">
        <x:v>已追偿金额</x:v>
      </x:c>
      <x:c r="K4" s="6" t="str">
        <x:v>本次可追偿金额</x:v>
      </x:c>
      <x:c r="L4" s="6" t="str">
        <x:v>分摊说明</x:v>
      </x:c>
      <x:c r="M4" s="6" t="str">
        <x:v>依据位置</x:v>
      </x:c>
    </x:row>
    <x:row r="5" ht="64" customHeight="1">
      <x:c r="A5" s="2" t="str">
        <x:v>WR-2026-0138</x:v>
      </x:c>
      <x:c r="B5" s="2" t="str">
        <x:v>EC-2026-0241</x:v>
      </x:c>
      <x:c r="C5" s="2" t="str">
        <x:v>星桥电子</x:v>
      </x:c>
      <x:c r="D5" s="2" t="str">
        <x:v>PV1-2026Q1</x:v>
      </x:c>
      <x:c r="E5" s="2" t="str">
        <x:v>无</x:v>
      </x:c>
      <x:c r="F5" s="10" t="n">
        <x:v>1</x:v>
      </x:c>
      <x:c r="G5" s="10" t="n">
        <x:v>0.62</x:v>
      </x:c>
      <x:c r="H5" s="9" t="n">
        <x:v>1800</x:v>
      </x:c>
      <x:c r="I5" s="9"/>
      <x:c r="J5" s="9" t="n">
        <x:v>0</x:v>
      </x:c>
      <x:c r="K5" s="9" t="n">
        <x:f>MAX(0,ROUND(IF(I5="",ROUND(H5*G5,2),MIN(ROUND(H5*G5,2),I5))-J5,2))</x:f>
        <x:v>1116</x:v>
      </x:c>
      <x:c r="L5" s="11" t="str">
        <x:v>星桥电子采纳责任分摊100%，故障日2026-02-20适用PV1-2026Q1的62%政策比例，分摊成本1800.00元，政策核定1116.00元，本次1116.00元。</x:v>
      </x:c>
      <x:c r="M5" s="11" t="str">
        <x:v>warranty_claims.xlsx!索赔台账-华东!A4:I4；return_inspection.xlsx!责任链明细!A2:G2；policy_versions.xlsx!追偿政策版本!A14:F14</x:v>
      </x:c>
    </x:row>
    <x:row r="6" ht="64" customHeight="1">
      <x:c r="A6" s="2" t="str">
        <x:v>WR-2026-0136</x:v>
      </x:c>
      <x:c r="B6" s="2" t="str">
        <x:v>EC-2026-0215</x:v>
      </x:c>
      <x:c r="C6" s="2" t="str">
        <x:v>星桥电子</x:v>
      </x:c>
      <x:c r="D6" s="2" t="str">
        <x:v>PV2-2026Q2</x:v>
      </x:c>
      <x:c r="E6" s="2" t="str">
        <x:v>无</x:v>
      </x:c>
      <x:c r="F6" s="10" t="n">
        <x:v>1</x:v>
      </x:c>
      <x:c r="G6" s="10" t="n">
        <x:v>0.78</x:v>
      </x:c>
      <x:c r="H6" s="9" t="n">
        <x:v>2000</x:v>
      </x:c>
      <x:c r="I6" s="9"/>
      <x:c r="J6" s="9" t="n">
        <x:v>0</x:v>
      </x:c>
      <x:c r="K6" s="9" t="n">
        <x:f>MAX(0,ROUND(IF(I6="",ROUND(H6*G6,2),MIN(ROUND(H6*G6,2),I6))-J6,2))</x:f>
        <x:v>1560</x:v>
      </x:c>
      <x:c r="L6" s="11" t="str">
        <x:v>星桥电子采纳责任分摊100%，故障日2026-04-05适用PV2-2026Q2的78%政策比例，分摊成本2000.00元，政策核定1560.00元，本次1560.00元。</x:v>
      </x:c>
      <x:c r="M6" s="11" t="str">
        <x:v>warranty_claims.xlsx!索赔台账-华东!A5:I5；return_inspection.xlsx!责任链明细!A3:G3；policy_versions.xlsx!追偿政策版本!A15:F15</x:v>
      </x:c>
    </x:row>
    <x:row r="7" ht="64" customHeight="1">
      <x:c r="A7" s="2" t="str">
        <x:v>WR-2026-0106</x:v>
      </x:c>
      <x:c r="B7" s="2" t="str">
        <x:v>EC-2026-0237</x:v>
      </x:c>
      <x:c r="C7" s="2" t="str">
        <x:v>岚川组件</x:v>
      </x:c>
      <x:c r="D7" s="2" t="str">
        <x:v>PV1-2026Q1</x:v>
      </x:c>
      <x:c r="E7" s="2" t="str">
        <x:v>无</x:v>
      </x:c>
      <x:c r="F7" s="10" t="n">
        <x:v>1</x:v>
      </x:c>
      <x:c r="G7" s="10" t="n">
        <x:v>0.55</x:v>
      </x:c>
      <x:c r="H7" s="9" t="n">
        <x:v>1500</x:v>
      </x:c>
      <x:c r="I7" s="9"/>
      <x:c r="J7" s="9" t="n">
        <x:v>0</x:v>
      </x:c>
      <x:c r="K7" s="9" t="n">
        <x:f>MAX(0,ROUND(IF(I7="",ROUND(H7*G7,2),MIN(ROUND(H7*G7,2),I7))-J7,2))</x:f>
        <x:v>825</x:v>
      </x:c>
      <x:c r="L7" s="11" t="str">
        <x:v>岚川组件采纳责任分摊100%，故障日2026-03-15适用PV1-2026Q1的55%政策比例，分摊成本1500.00元，政策核定825.00元，本次825.00元。</x:v>
      </x:c>
      <x:c r="M7" s="11" t="str">
        <x:v>warranty_claims.xlsx!索赔台账-华东!A6:I6；return_inspection.xlsx!责任链明细!A4:G4；policy_versions.xlsx!追偿政策版本!A12:F12</x:v>
      </x:c>
    </x:row>
    <x:row r="8" ht="64" customHeight="1">
      <x:c r="A8" s="2" t="str">
        <x:v>WR-2026-0122</x:v>
      </x:c>
      <x:c r="B8" s="2" t="str">
        <x:v>EC-2026-0242</x:v>
      </x:c>
      <x:c r="C8" s="2" t="str">
        <x:v>岚川组件</x:v>
      </x:c>
      <x:c r="D8" s="2" t="str">
        <x:v>PV2-2026Q2</x:v>
      </x:c>
      <x:c r="E8" s="2" t="str">
        <x:v>无</x:v>
      </x:c>
      <x:c r="F8" s="10" t="n">
        <x:v>1</x:v>
      </x:c>
      <x:c r="G8" s="10" t="n">
        <x:v>0.65</x:v>
      </x:c>
      <x:c r="H8" s="9" t="n">
        <x:v>1600</x:v>
      </x:c>
      <x:c r="I8" s="9"/>
      <x:c r="J8" s="9" t="n">
        <x:v>0</x:v>
      </x:c>
      <x:c r="K8" s="9" t="n">
        <x:f>MAX(0,ROUND(IF(I8="",ROUND(H8*G8,2),MIN(ROUND(H8*G8,2),I8))-J8,2))</x:f>
        <x:v>1040</x:v>
      </x:c>
      <x:c r="L8" s="11" t="str">
        <x:v>岚川组件采纳责任分摊100%，故障日2026-04-12适用PV2-2026Q2的65%政策比例，分摊成本1600.00元，政策核定1040.00元，本次1040.00元。</x:v>
      </x:c>
      <x:c r="M8" s="11" t="str">
        <x:v>warranty_claims.xlsx!索赔台账-华东!A7:I7；return_inspection.xlsx!责任链明细!A5:G5；policy_versions.xlsx!追偿政策版本!A13:F13</x:v>
      </x:c>
    </x:row>
    <x:row r="9" ht="64" customHeight="1">
      <x:c r="A9" s="2" t="str">
        <x:v>WR-2026-0128</x:v>
      </x:c>
      <x:c r="B9" s="2" t="str">
        <x:v>EC-2026-0209</x:v>
      </x:c>
      <x:c r="C9" s="2" t="str">
        <x:v>南衡传动</x:v>
      </x:c>
      <x:c r="D9" s="2" t="str">
        <x:v>PV2-2026Q2</x:v>
      </x:c>
      <x:c r="E9" s="2" t="str">
        <x:v>CAP_AMOUNT</x:v>
      </x:c>
      <x:c r="F9" s="10" t="n">
        <x:v>1</x:v>
      </x:c>
      <x:c r="G9" s="10" t="n">
        <x:v>0.74</x:v>
      </x:c>
      <x:c r="H9" s="9" t="n">
        <x:v>2400</x:v>
      </x:c>
      <x:c r="I9" s="9" t="n">
        <x:v>1500</x:v>
      </x:c>
      <x:c r="J9" s="9" t="n">
        <x:v>300</x:v>
      </x:c>
      <x:c r="K9" s="9" t="n">
        <x:f>MAX(0,ROUND(IF(I9="",ROUND(H9*G9,2),MIN(ROUND(H9*G9,2),I9))-J9,2))</x:f>
        <x:v>1200</x:v>
      </x:c>
      <x:c r="L9" s="11" t="str">
        <x:v>南衡传动采纳责任分摊100%，故障日2026-04-08适用PV2-2026Q2的74%政策比例，分摊成本2400.00元，政策核定1776.00元，合同上限1500.00元后为1500.00元，已入账300.00元扣减，本次1200.00元。</x:v>
      </x:c>
      <x:c r="M9" s="11" t="str">
        <x:v>warranty_claims.xlsx!索赔台账-华东!A8:I8；return_inspection.xlsx!责任链明细!A6:G6；policy_versions.xlsx!追偿政策版本!A9:F9；contract_exceptions.csv!row2；historical_recovery.csv!row34</x:v>
      </x:c>
    </x:row>
    <x:row r="10" ht="64" customHeight="1">
      <x:c r="A10" s="2" t="str">
        <x:v>WR-2026-0144</x:v>
      </x:c>
      <x:c r="B10" s="2" t="str">
        <x:v>EC-2026-0202</x:v>
      </x:c>
      <x:c r="C10" s="2" t="str">
        <x:v>北陆材料</x:v>
      </x:c>
      <x:c r="D10" s="2" t="str">
        <x:v>PV1-2026Q1</x:v>
      </x:c>
      <x:c r="E10" s="2" t="str">
        <x:v>无</x:v>
      </x:c>
      <x:c r="F10" s="10" t="n">
        <x:v>1</x:v>
      </x:c>
      <x:c r="G10" s="10" t="n">
        <x:v>0.6</x:v>
      </x:c>
      <x:c r="H10" s="9" t="n">
        <x:v>1300</x:v>
      </x:c>
      <x:c r="I10" s="9"/>
      <x:c r="J10" s="9" t="n">
        <x:v>0</x:v>
      </x:c>
      <x:c r="K10" s="9" t="n">
        <x:f>MAX(0,ROUND(IF(I10="",ROUND(H10*G10,2),MIN(ROUND(H10*G10,2),I10))-J10,2))</x:f>
        <x:v>780</x:v>
      </x:c>
      <x:c r="L10" s="11" t="str">
        <x:v>北陆材料采纳责任分摊100%，故障日2026-02-25适用PV1-2026Q1的60%政策比例，分摊成本1300.00元，政策核定780.00元，本次780.00元。</x:v>
      </x:c>
      <x:c r="M10" s="11" t="str">
        <x:v>warranty_claims.xlsx!索赔台账-华东!A9:I9；return_inspection.xlsx!责任链明细!A7:G7；policy_versions.xlsx!追偿政策版本!A4:F4</x:v>
      </x:c>
    </x:row>
    <x:row r="11" ht="64" customHeight="1">
      <x:c r="A11" s="2" t="str">
        <x:v>WR-2026-0125</x:v>
      </x:c>
      <x:c r="B11" s="2" t="str">
        <x:v>EC-2026-0224</x:v>
      </x:c>
      <x:c r="C11" s="2" t="str">
        <x:v>北陆材料</x:v>
      </x:c>
      <x:c r="D11" s="2" t="str">
        <x:v>PV2-2026Q2</x:v>
      </x:c>
      <x:c r="E11" s="2" t="str">
        <x:v>无</x:v>
      </x:c>
      <x:c r="F11" s="10" t="n">
        <x:v>1</x:v>
      </x:c>
      <x:c r="G11" s="10" t="n">
        <x:v>0.72</x:v>
      </x:c>
      <x:c r="H11" s="9" t="n">
        <x:v>1900</x:v>
      </x:c>
      <x:c r="I11" s="9"/>
      <x:c r="J11" s="9" t="n">
        <x:v>400</x:v>
      </x:c>
      <x:c r="K11" s="9" t="n">
        <x:f>MAX(0,ROUND(IF(I11="",ROUND(H11*G11,2),MIN(ROUND(H11*G11,2),I11))-J11,2))</x:f>
        <x:v>968</x:v>
      </x:c>
      <x:c r="L11" s="11" t="str">
        <x:v>北陆材料采纳责任分摊100%，故障日2026-04-15适用PV2-2026Q2的72%政策比例，分摊成本1900.00元，政策核定1368.00元，已入账400.00元扣减，本次968.00元。</x:v>
      </x:c>
      <x:c r="M11" s="11" t="str">
        <x:v>warranty_claims.xlsx!索赔台账-华东!A10:I10；return_inspection.xlsx!责任链明细!A8:G8；policy_versions.xlsx!追偿政策版本!A5:F5；historical_recovery.csv!row2</x:v>
      </x:c>
    </x:row>
    <x:row r="12" ht="64" customHeight="1">
      <x:c r="A12" s="2" t="str">
        <x:v>WR-2026-0115</x:v>
      </x:c>
      <x:c r="B12" s="2" t="str">
        <x:v>EC-2026-0214</x:v>
      </x:c>
      <x:c r="C12" s="2" t="str">
        <x:v>云岱模组</x:v>
      </x:c>
      <x:c r="D12" s="2" t="str">
        <x:v>PV2-2026Q2</x:v>
      </x:c>
      <x:c r="E12" s="2" t="str">
        <x:v>无</x:v>
      </x:c>
      <x:c r="F12" s="10" t="n">
        <x:v>1</x:v>
      </x:c>
      <x:c r="G12" s="10" t="n">
        <x:v>0.58</x:v>
      </x:c>
      <x:c r="H12" s="9" t="n">
        <x:v>2100</x:v>
      </x:c>
      <x:c r="I12" s="9"/>
      <x:c r="J12" s="9" t="n">
        <x:v>0</x:v>
      </x:c>
      <x:c r="K12" s="9" t="n">
        <x:f>MAX(0,ROUND(IF(I12="",ROUND(H12*G12,2),MIN(ROUND(H12*G12,2),I12))-J12,2))</x:f>
        <x:v>1218</x:v>
      </x:c>
      <x:c r="L12" s="11" t="str">
        <x:v>云岱模组采纳责任分摊100%，故障日2026-04-16适用PV2-2026Q2的58%政策比例，分摊成本2100.00元，政策核定1218.00元，本次1218.00元。</x:v>
      </x:c>
      <x:c r="M12" s="11" t="str">
        <x:v>warranty_claims.xlsx!索赔台账-华东!A11:I11；return_inspection.xlsx!责任链明细!A9:G9；policy_versions.xlsx!追偿政策版本!A3:F3</x:v>
      </x:c>
    </x:row>
    <x:row r="13" ht="64" customHeight="1">
      <x:c r="A13" s="2" t="str">
        <x:v>WR-2026-0146</x:v>
      </x:c>
      <x:c r="B13" s="2" t="str">
        <x:v>EC-2026-0230</x:v>
      </x:c>
      <x:c r="C13" s="2" t="str">
        <x:v>南衡传动</x:v>
      </x:c>
      <x:c r="D13" s="2" t="str">
        <x:v>PV1-2026Q1</x:v>
      </x:c>
      <x:c r="E13" s="2" t="str">
        <x:v>无</x:v>
      </x:c>
      <x:c r="F13" s="10" t="n">
        <x:v>1</x:v>
      </x:c>
      <x:c r="G13" s="10" t="n">
        <x:v>0.66</x:v>
      </x:c>
      <x:c r="H13" s="9" t="n">
        <x:v>2200</x:v>
      </x:c>
      <x:c r="I13" s="9"/>
      <x:c r="J13" s="9" t="n">
        <x:v>0</x:v>
      </x:c>
      <x:c r="K13" s="9" t="n">
        <x:f>MAX(0,ROUND(IF(I13="",ROUND(H13*G13,2),MIN(ROUND(H13*G13,2),I13))-J13,2))</x:f>
        <x:v>1452</x:v>
      </x:c>
      <x:c r="L13" s="11" t="str">
        <x:v>南衡传动采纳责任分摊100%，故障日2026-03-20适用PV1-2026Q1的66%政策比例，分摊成本2200.00元，政策核定1452.00元，本次1452.00元。</x:v>
      </x:c>
      <x:c r="M13" s="11" t="str">
        <x:v>warranty_claims.xlsx!索赔台账-华东!A12:I12；return_inspection.xlsx!责任链明细!A10:G10；policy_versions.xlsx!追偿政策版本!A10:F10</x:v>
      </x:c>
    </x:row>
    <x:row r="14" ht="64" customHeight="1">
      <x:c r="A14" s="2" t="str">
        <x:v>WR-2026-0141</x:v>
      </x:c>
      <x:c r="B14" s="2" t="str">
        <x:v>EC-2026-0228</x:v>
      </x:c>
      <x:c r="C14" s="2" t="str">
        <x:v>岚川组件</x:v>
      </x:c>
      <x:c r="D14" s="2" t="str">
        <x:v>PV2-2026Q2</x:v>
      </x:c>
      <x:c r="E14" s="2" t="str">
        <x:v>SPLIT_OVERRIDE</x:v>
      </x:c>
      <x:c r="F14" s="10" t="n">
        <x:v>0.3</x:v>
      </x:c>
      <x:c r="G14" s="10" t="n">
        <x:v>0.65</x:v>
      </x:c>
      <x:c r="H14" s="9" t="n">
        <x:v>900</x:v>
      </x:c>
      <x:c r="I14" s="9"/>
      <x:c r="J14" s="9" t="n">
        <x:v>0</x:v>
      </x:c>
      <x:c r="K14" s="9" t="n">
        <x:f>MAX(0,ROUND(IF(I14="",ROUND(H14*G14,2),MIN(ROUND(H14*G14,2),I14))-J14,2))</x:f>
        <x:v>585</x:v>
      </x:c>
      <x:c r="L14" s="11" t="str">
        <x:v>岚川组件采纳责任分摊30%（合同由40%改为30%），故障日2026-04-18适用PV2-2026Q2的65%政策比例，分摊成本900.00元，政策核定585.00元，本次585.00元。</x:v>
      </x:c>
      <x:c r="M14" s="11" t="str">
        <x:v>warranty_claims.xlsx!索赔台账-华东!A14:I14；return_inspection.xlsx!责任链明细!A23:G23；policy_versions.xlsx!追偿政策版本!A13:F13；contract_exceptions.csv!row4</x:v>
      </x:c>
    </x:row>
    <x:row r="15" ht="64" customHeight="1">
      <x:c r="A15" s="2" t="str">
        <x:v>WR-2026-0116</x:v>
      </x:c>
      <x:c r="B15" s="2" t="str">
        <x:v>EC-2026-0222</x:v>
      </x:c>
      <x:c r="C15" s="2" t="str">
        <x:v>星桥电子</x:v>
      </x:c>
      <x:c r="D15" s="2" t="str">
        <x:v>PV1-2026Q1</x:v>
      </x:c>
      <x:c r="E15" s="2" t="str">
        <x:v>无</x:v>
      </x:c>
      <x:c r="F15" s="10" t="n">
        <x:v>0.6</x:v>
      </x:c>
      <x:c r="G15" s="10" t="n">
        <x:v>0.62</x:v>
      </x:c>
      <x:c r="H15" s="9" t="n">
        <x:v>1680</x:v>
      </x:c>
      <x:c r="I15" s="9"/>
      <x:c r="J15" s="9" t="n">
        <x:v>0</x:v>
      </x:c>
      <x:c r="K15" s="9" t="n">
        <x:f>MAX(0,ROUND(IF(I15="",ROUND(H15*G15,2),MIN(ROUND(H15*G15,2),I15))-J15,2))</x:f>
        <x:v>1041.6</x:v>
      </x:c>
      <x:c r="L15" s="11" t="str">
        <x:v>星桥电子采纳责任分摊60%，故障日2026-02-18适用PV1-2026Q1的62%政策比例，分摊成本1680.00元，政策核定1041.60元，本次1041.60元。</x:v>
      </x:c>
      <x:c r="M15" s="11" t="str">
        <x:v>warranty_claims.xlsx!索赔台账-华东!A15:I15；return_inspection.xlsx!责任链明细!A25:G25；policy_versions.xlsx!追偿政策版本!A14:F14</x:v>
      </x:c>
    </x:row>
    <x:row r="16" ht="64" customHeight="1">
      <x:c r="A16" s="2" t="str">
        <x:v>WR-2026-0116</x:v>
      </x:c>
      <x:c r="B16" s="2" t="str">
        <x:v>EC-2026-0222</x:v>
      </x:c>
      <x:c r="C16" s="2" t="str">
        <x:v>岚川组件</x:v>
      </x:c>
      <x:c r="D16" s="2" t="str">
        <x:v>PV1-2026Q1</x:v>
      </x:c>
      <x:c r="E16" s="2" t="str">
        <x:v>无</x:v>
      </x:c>
      <x:c r="F16" s="10" t="n">
        <x:v>0.4</x:v>
      </x:c>
      <x:c r="G16" s="10" t="n">
        <x:v>0.55</x:v>
      </x:c>
      <x:c r="H16" s="9" t="n">
        <x:v>1120</x:v>
      </x:c>
      <x:c r="I16" s="9"/>
      <x:c r="J16" s="9" t="n">
        <x:v>0</x:v>
      </x:c>
      <x:c r="K16" s="9" t="n">
        <x:f>MAX(0,ROUND(IF(I16="",ROUND(H16*G16,2),MIN(ROUND(H16*G16,2),I16))-J16,2))</x:f>
        <x:v>616</x:v>
      </x:c>
      <x:c r="L16" s="11" t="str">
        <x:v>岚川组件采纳责任分摊40%，故障日2026-02-18适用PV1-2026Q1的55%政策比例，分摊成本1120.00元，政策核定616.00元，本次616.00元。</x:v>
      </x:c>
      <x:c r="M16" s="11" t="str">
        <x:v>warranty_claims.xlsx!索赔台账-华东!A15:I15；return_inspection.xlsx!责任链明细!A26:G26；policy_versions.xlsx!追偿政策版本!A12:F12</x:v>
      </x:c>
    </x:row>
    <x:row r="17" ht="64" customHeight="1">
      <x:c r="A17" s="2" t="str">
        <x:v>WR-2026-0149</x:v>
      </x:c>
      <x:c r="B17" s="2" t="str">
        <x:v>EC-2026-0248</x:v>
      </x:c>
      <x:c r="C17" s="2" t="str">
        <x:v>南衡传动</x:v>
      </x:c>
      <x:c r="D17" s="2" t="str">
        <x:v>PV2-2026Q2</x:v>
      </x:c>
      <x:c r="E17" s="2" t="str">
        <x:v>CAP_AMOUNT</x:v>
      </x:c>
      <x:c r="F17" s="10" t="n">
        <x:v>0.75</x:v>
      </x:c>
      <x:c r="G17" s="10" t="n">
        <x:v>0.74</x:v>
      </x:c>
      <x:c r="H17" s="9" t="n">
        <x:v>2700</x:v>
      </x:c>
      <x:c r="I17" s="9" t="n">
        <x:v>1500</x:v>
      </x:c>
      <x:c r="J17" s="9" t="n">
        <x:v>0</x:v>
      </x:c>
      <x:c r="K17" s="9" t="n">
        <x:f>MAX(0,ROUND(IF(I17="",ROUND(H17*G17,2),MIN(ROUND(H17*G17,2),I17))-J17,2))</x:f>
        <x:v>1500</x:v>
      </x:c>
      <x:c r="L17" s="11" t="str">
        <x:v>南衡传动采纳责任分摊75%，故障日2026-04-22适用PV2-2026Q2的74%政策比例，分摊成本2700.00元，政策核定1998.00元，合同上限1500.00元后为1500.00元，本次1500.00元。</x:v>
      </x:c>
      <x:c r="M17" s="11" t="str">
        <x:v>warranty_claims.xlsx!claim_log_south!A3:I3；return_inspection.xlsx!责任链明细!A27:G27；policy_versions.xlsx!追偿政策版本!A9:F9；contract_exceptions.csv!row2</x:v>
      </x:c>
    </x:row>
    <x:row r="18" ht="64" customHeight="1">
      <x:c r="A18" s="2" t="str">
        <x:v>WR-2026-0149</x:v>
      </x:c>
      <x:c r="B18" s="2" t="str">
        <x:v>EC-2026-0248</x:v>
      </x:c>
      <x:c r="C18" s="2" t="str">
        <x:v>北陆材料</x:v>
      </x:c>
      <x:c r="D18" s="2" t="str">
        <x:v>PV2-2026Q2</x:v>
      </x:c>
      <x:c r="E18" s="2" t="str">
        <x:v>无</x:v>
      </x:c>
      <x:c r="F18" s="10" t="n">
        <x:v>0.25</x:v>
      </x:c>
      <x:c r="G18" s="10" t="n">
        <x:v>0.5</x:v>
      </x:c>
      <x:c r="H18" s="9" t="n">
        <x:v>900</x:v>
      </x:c>
      <x:c r="I18" s="9"/>
      <x:c r="J18" s="9" t="n">
        <x:v>0</x:v>
      </x:c>
      <x:c r="K18" s="9" t="n">
        <x:f>MAX(0,ROUND(IF(I18="",ROUND(H18*G18,2),MIN(ROUND(H18*G18,2),I18))-J18,2))</x:f>
        <x:v>450</x:v>
      </x:c>
      <x:c r="L18" s="11" t="str">
        <x:v>北陆材料采纳责任分摊25%，故障日2026-04-22适用PV2-2026Q2的50%政策比例，分摊成本900.00元，政策核定450.00元，本次450.00元。</x:v>
      </x:c>
      <x:c r="M18" s="11" t="str">
        <x:v>warranty_claims.xlsx!claim_log_south!A3:I3；return_inspection.xlsx!责任链明细!A28:G28；policy_versions.xlsx!追偿政策版本!A7:F7</x:v>
      </x:c>
    </x:row>
    <x:row r="19" ht="64" customHeight="1">
      <x:c r="A19" s="2" t="str">
        <x:v>WR-2026-0132</x:v>
      </x:c>
      <x:c r="B19" s="2" t="str">
        <x:v>EC-2026-0221</x:v>
      </x:c>
      <x:c r="C19" s="2" t="str">
        <x:v>星桥电子</x:v>
      </x:c>
      <x:c r="D19" s="2" t="str">
        <x:v>PV2-2026Q2</x:v>
      </x:c>
      <x:c r="E19" s="2" t="str">
        <x:v>SPLIT_OVERRIDE</x:v>
      </x:c>
      <x:c r="F19" s="10" t="n">
        <x:v>0.7</x:v>
      </x:c>
      <x:c r="G19" s="10" t="n">
        <x:v>0.78</x:v>
      </x:c>
      <x:c r="H19" s="9" t="n">
        <x:v>1820</x:v>
      </x:c>
      <x:c r="I19" s="9"/>
      <x:c r="J19" s="9" t="n">
        <x:v>500</x:v>
      </x:c>
      <x:c r="K19" s="9" t="n">
        <x:f>MAX(0,ROUND(IF(I19="",ROUND(H19*G19,2),MIN(ROUND(H19*G19,2),I19))-J19,2))</x:f>
        <x:v>919.6</x:v>
      </x:c>
      <x:c r="L19" s="11" t="str">
        <x:v>星桥电子采纳责任分摊70%（合同由60%改为70%），故障日2026-04-25适用PV2-2026Q2的78%政策比例，分摊成本1820.00元，政策核定1419.60元，已入账500.00元扣减，本次919.60元。</x:v>
      </x:c>
      <x:c r="M19" s="11" t="str">
        <x:v>warranty_claims.xlsx!claim_log_south!A4:I4；return_inspection.xlsx!责任链明细!A29:G29；policy_versions.xlsx!追偿政策版本!A15:F15；contract_exceptions.csv!row3；historical_recovery.csv!row4</x:v>
      </x:c>
    </x:row>
    <x:row r="20" ht="64" customHeight="1">
      <x:c r="A20" s="2" t="str">
        <x:v>WR-2026-0132</x:v>
      </x:c>
      <x:c r="B20" s="2" t="str">
        <x:v>EC-2026-0221</x:v>
      </x:c>
      <x:c r="C20" s="2" t="str">
        <x:v>岚川组件</x:v>
      </x:c>
      <x:c r="D20" s="2" t="str">
        <x:v>PV2-2026Q2</x:v>
      </x:c>
      <x:c r="E20" s="2" t="str">
        <x:v>SPLIT_OVERRIDE</x:v>
      </x:c>
      <x:c r="F20" s="10" t="n">
        <x:v>0.3</x:v>
      </x:c>
      <x:c r="G20" s="10" t="n">
        <x:v>0.65</x:v>
      </x:c>
      <x:c r="H20" s="9" t="n">
        <x:v>780</x:v>
      </x:c>
      <x:c r="I20" s="9"/>
      <x:c r="J20" s="9" t="n">
        <x:v>0</x:v>
      </x:c>
      <x:c r="K20" s="9" t="n">
        <x:f>MAX(0,ROUND(IF(I20="",ROUND(H20*G20,2),MIN(ROUND(H20*G20,2),I20))-J20,2))</x:f>
        <x:v>507</x:v>
      </x:c>
      <x:c r="L20" s="11" t="str">
        <x:v>岚川组件采纳责任分摊30%（合同由40%改为30%），故障日2026-04-25适用PV2-2026Q2的65%政策比例，分摊成本780.00元，政策核定507.00元，本次507.00元。</x:v>
      </x:c>
      <x:c r="M20" s="11" t="str">
        <x:v>warranty_claims.xlsx!claim_log_south!A4:I4；return_inspection.xlsx!责任链明细!A30:G30；policy_versions.xlsx!追偿政策版本!A13:F13；contract_exceptions.csv!row4</x:v>
      </x:c>
    </x:row>
    <x:row r="21" ht="64" customHeight="1">
      <x:c r="A21" s="2" t="str">
        <x:v>WR-2026-0131</x:v>
      </x:c>
      <x:c r="B21" s="2" t="str">
        <x:v>EC-2026-0203</x:v>
      </x:c>
      <x:c r="C21" s="2" t="str">
        <x:v>南衡传动</x:v>
      </x:c>
      <x:c r="D21" s="2" t="str">
        <x:v>PV2-2026Q2</x:v>
      </x:c>
      <x:c r="E21" s="2" t="str">
        <x:v>CAP_AMOUNT</x:v>
      </x:c>
      <x:c r="F21" s="10" t="n">
        <x:v>1</x:v>
      </x:c>
      <x:c r="G21" s="10" t="n">
        <x:v>0.74</x:v>
      </x:c>
      <x:c r="H21" s="9" t="n">
        <x:v>3000</x:v>
      </x:c>
      <x:c r="I21" s="9" t="n">
        <x:v>1500</x:v>
      </x:c>
      <x:c r="J21" s="9" t="n">
        <x:v>0</x:v>
      </x:c>
      <x:c r="K21" s="9" t="n">
        <x:f>MAX(0,ROUND(IF(I21="",ROUND(H21*G21,2),MIN(ROUND(H21*G21,2),I21))-J21,2))</x:f>
        <x:v>1500</x:v>
      </x:c>
      <x:c r="L21" s="11" t="str">
        <x:v>南衡传动采纳责任分摊100%，故障日2026-04-28适用PV2-2026Q2的74%政策比例，分摊成本3000.00元，政策核定2220.00元，合同上限1500.00元后为1500.00元，本次1500.00元。</x:v>
      </x:c>
      <x:c r="M21" s="11" t="str">
        <x:v>warranty_claims.xlsx!claim_log_south!A9:I9；return_inspection.xlsx!责任链明细!A16:G16；policy_versions.xlsx!追偿政策版本!A9:F9；contract_exceptions.csv!row2</x:v>
      </x:c>
    </x:row>
    <x:row r="22" ht="64" customHeight="1">
      <x:c r="A22" s="2" t="str">
        <x:v>WR-2026-0108</x:v>
      </x:c>
      <x:c r="B22" s="2" t="str">
        <x:v>EC-2026-0219</x:v>
      </x:c>
      <x:c r="C22" s="2" t="str">
        <x:v>星桥电子</x:v>
      </x:c>
      <x:c r="D22" s="2" t="str">
        <x:v>PV1-2026Q1</x:v>
      </x:c>
      <x:c r="E22" s="2" t="str">
        <x:v>无</x:v>
      </x:c>
      <x:c r="F22" s="10" t="n">
        <x:v>1</x:v>
      </x:c>
      <x:c r="G22" s="10" t="n">
        <x:v>0.62</x:v>
      </x:c>
      <x:c r="H22" s="9" t="n">
        <x:v>1750</x:v>
      </x:c>
      <x:c r="I22" s="9"/>
      <x:c r="J22" s="9" t="n">
        <x:v>0</x:v>
      </x:c>
      <x:c r="K22" s="9" t="n">
        <x:f>MAX(0,ROUND(IF(I22="",ROUND(H22*G22,2),MIN(ROUND(H22*G22,2),I22))-J22,2))</x:f>
        <x:v>1085</x:v>
      </x:c>
      <x:c r="L22" s="11" t="str">
        <x:v>星桥电子采纳责任分摊100%，故障日2026-03-29适用PV1-2026Q1的62%政策比例，分摊成本1750.00元，政策核定1085.00元，本次1085.00元。</x:v>
      </x:c>
      <x:c r="M22" s="11" t="str">
        <x:v>warranty_claims.xlsx!claim_log_south!A10:I10；return_inspection.xlsx!责任链明细!A17:G17；policy_versions.xlsx!追偿政策版本!A14:F14</x:v>
      </x:c>
    </x:row>
    <x:row r="23" ht="64" customHeight="1">
      <x:c r="A23" s="2" t="str">
        <x:v>WR-2026-0148</x:v>
      </x:c>
      <x:c r="B23" s="2" t="str">
        <x:v>EC-2026-0206</x:v>
      </x:c>
      <x:c r="C23" s="2" t="str">
        <x:v>星桥电子</x:v>
      </x:c>
      <x:c r="D23" s="2" t="str">
        <x:v>PV2-2026Q2</x:v>
      </x:c>
      <x:c r="E23" s="2" t="str">
        <x:v>无</x:v>
      </x:c>
      <x:c r="F23" s="10" t="n">
        <x:v>1</x:v>
      </x:c>
      <x:c r="G23" s="10" t="n">
        <x:v>0.78</x:v>
      </x:c>
      <x:c r="H23" s="9" t="n">
        <x:v>1750</x:v>
      </x:c>
      <x:c r="I23" s="9"/>
      <x:c r="J23" s="9" t="n">
        <x:v>0</x:v>
      </x:c>
      <x:c r="K23" s="9" t="n">
        <x:f>MAX(0,ROUND(IF(I23="",ROUND(H23*G23,2),MIN(ROUND(H23*G23,2),I23))-J23,2))</x:f>
        <x:v>1365</x:v>
      </x:c>
      <x:c r="L23" s="11" t="str">
        <x:v>星桥电子采纳责任分摊100%，故障日2026-04-01适用PV2-2026Q2的78%政策比例，分摊成本1750.00元，政策核定1365.00元，本次1365.00元。</x:v>
      </x:c>
      <x:c r="M23" s="11" t="str">
        <x:v>warranty_claims.xlsx!claim_log_south!A11:I11；return_inspection.xlsx!责任链明细!A18:G18；policy_versions.xlsx!追偿政策版本!A15:F15</x:v>
      </x:c>
    </x:row>
    <x:row r="24" ht="64" customHeight="1">
      <x:c r="A24" s="2" t="str">
        <x:v>WR-2026-0123</x:v>
      </x:c>
      <x:c r="B24" s="2" t="str">
        <x:v>EC-2026-0207</x:v>
      </x:c>
      <x:c r="C24" s="2" t="str">
        <x:v>岚川组件</x:v>
      </x:c>
      <x:c r="D24" s="2" t="str">
        <x:v>PV1-2026Q1</x:v>
      </x:c>
      <x:c r="E24" s="2" t="str">
        <x:v>无</x:v>
      </x:c>
      <x:c r="F24" s="10" t="n">
        <x:v>1</x:v>
      </x:c>
      <x:c r="G24" s="10" t="n">
        <x:v>0.55</x:v>
      </x:c>
      <x:c r="H24" s="9" t="n">
        <x:v>1000</x:v>
      </x:c>
      <x:c r="I24" s="9"/>
      <x:c r="J24" s="9" t="n">
        <x:v>0</x:v>
      </x:c>
      <x:c r="K24" s="9" t="n">
        <x:f>MAX(0,ROUND(IF(I24="",ROUND(H24*G24,2),MIN(ROUND(H24*G24,2),I24))-J24,2))</x:f>
        <x:v>550</x:v>
      </x:c>
      <x:c r="L24" s="11" t="str">
        <x:v>岚川组件采纳责任分摊100%，故障日2026-03-31适用PV1-2026Q1的55%政策比例，分摊成本1000.00元，政策核定550.00元，本次550.00元。</x:v>
      </x:c>
      <x:c r="M24" s="11" t="str">
        <x:v>warranty_claims.xlsx!claim_log_south!A12:I12；return_inspection.xlsx!责任链明细!A19:G19；policy_versions.xlsx!追偿政策版本!A12:F12</x:v>
      </x:c>
    </x:row>
    <x:row r="25" ht="64" customHeight="1">
      <x:c r="A25" s="2" t="str">
        <x:v>WR-2026-0142</x:v>
      </x:c>
      <x:c r="B25" s="2" t="str">
        <x:v>EC-2026-0211</x:v>
      </x:c>
      <x:c r="C25" s="2" t="str">
        <x:v>岚川组件</x:v>
      </x:c>
      <x:c r="D25" s="2" t="str">
        <x:v>PV2-2026Q2</x:v>
      </x:c>
      <x:c r="E25" s="2" t="str">
        <x:v>无</x:v>
      </x:c>
      <x:c r="F25" s="10" t="n">
        <x:v>1</x:v>
      </x:c>
      <x:c r="G25" s="10" t="n">
        <x:v>0.65</x:v>
      </x:c>
      <x:c r="H25" s="9" t="n">
        <x:v>1000</x:v>
      </x:c>
      <x:c r="I25" s="9"/>
      <x:c r="J25" s="9" t="n">
        <x:v>0</x:v>
      </x:c>
      <x:c r="K25" s="9" t="n">
        <x:f>MAX(0,ROUND(IF(I25="",ROUND(H25*G25,2),MIN(ROUND(H25*G25,2),I25))-J25,2))</x:f>
        <x:v>650</x:v>
      </x:c>
      <x:c r="L25" s="11" t="str">
        <x:v>岚川组件采纳责任分摊100%，故障日2026-04-02适用PV2-2026Q2的65%政策比例，分摊成本1000.00元，政策核定650.00元，本次650.00元。</x:v>
      </x:c>
      <x:c r="M25" s="11" t="str">
        <x:v>warranty_claims.xlsx!claim_log_south!A13:I13；return_inspection.xlsx!责任链明细!A20:G20；policy_versions.xlsx!追偿政策版本!A13:F13</x:v>
      </x:c>
    </x:row>
    <x:row r="26" ht="64" customHeight="1">
      <x:c r="A26" s="2" t="str">
        <x:v>WR-2026-0120</x:v>
      </x:c>
      <x:c r="B26" s="2" t="str">
        <x:v>EC-2026-0246</x:v>
      </x:c>
      <x:c r="C26" s="2" t="str">
        <x:v>北陆材料</x:v>
      </x:c>
      <x:c r="D26" s="2" t="str">
        <x:v>PV2-2026Q2</x:v>
      </x:c>
      <x:c r="E26" s="2" t="str">
        <x:v>无</x:v>
      </x:c>
      <x:c r="F26" s="10" t="n">
        <x:v>1</x:v>
      </x:c>
      <x:c r="G26" s="10" t="n">
        <x:v>0.5</x:v>
      </x:c>
      <x:c r="H26" s="9" t="n">
        <x:v>2000</x:v>
      </x:c>
      <x:c r="I26" s="9"/>
      <x:c r="J26" s="9" t="n">
        <x:v>0</x:v>
      </x:c>
      <x:c r="K26" s="9" t="n">
        <x:f>MAX(0,ROUND(IF(I26="",ROUND(H26*G26,2),MIN(ROUND(H26*G26,2),I26))-J26,2))</x:f>
        <x:v>1000</x:v>
      </x:c>
      <x:c r="L26" s="11" t="str">
        <x:v>北陆材料采纳责任分摊100%，故障日2026-04-30适用PV2-2026Q2的50%政策比例，分摊成本2000.00元，政策核定1000.00元，本次1000.00元。</x:v>
      </x:c>
      <x:c r="M26" s="11" t="str">
        <x:v>warranty_claims.xlsx!claim_log_south!A14:I14；return_inspection.xlsx!责任链明细!A21:G21；policy_versions.xlsx!追偿政策版本!A7:F7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4B63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20" hidden="0" customWidth="1"/>
    <x:col min="9" max="9" width="20" hidden="0" customWidth="1"/>
    <x:col min="10" max="10" width="20" hidden="0" customWidth="1"/>
    <x:col min="11" max="11" width="66" hidden="0" customWidth="1"/>
  </x:cols>
  <x:sheetData>
    <x:row r="1" ht="25" customHeight="1">
      <x:c r="A1" s="7" t="str">
        <x:v>不可追偿及待核查事项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8" t="str">
        <x:v>单位：人民币元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6" t="str">
        <x:v>claim_id</x:v>
      </x:c>
      <x:c r="B4" s="6" t="str">
        <x:v>event_chain_id</x:v>
      </x:c>
      <x:c r="C4" s="6" t="str">
        <x:v>supplier</x:v>
      </x:c>
      <x:c r="D4" s="6" t="str">
        <x:v>原因类型</x:v>
      </x:c>
      <x:c r="E4" s="6" t="str">
        <x:v>触发规则</x:v>
      </x:c>
      <x:c r="F4" s="6" t="str">
        <x:v>缺失证据</x:v>
      </x:c>
      <x:c r="G4" s="6" t="str">
        <x:v>next_action</x:v>
      </x:c>
      <x:c r="H4" s="6" t="str">
        <x:v>维修成本</x:v>
      </x:c>
      <x:c r="I4" s="6" t="str">
        <x:v>已追偿金额</x:v>
      </x:c>
      <x:c r="J4" s="6" t="str">
        <x:v>待核查金额</x:v>
      </x:c>
      <x:c r="K4" s="6" t="str">
        <x:v>依据位置</x:v>
      </x:c>
    </x:row>
    <x:row r="5" ht="92" customHeight="1">
      <x:c r="A5" s="2" t="str">
        <x:v>WR-2026-0112</x:v>
      </x:c>
      <x:c r="B5" s="2" t="str">
        <x:v>EC-2026-0250</x:v>
      </x:c>
      <x:c r="C5" s="2" t="str">
        <x:v>星桥电子</x:v>
      </x:c>
      <x:c r="D5" s="11" t="str">
        <x:v>重复追偿</x:v>
      </x:c>
      <x:c r="E5" s="11" t="str">
        <x:v>已入账金额覆盖核定额</x:v>
      </x:c>
      <x:c r="F5" s="11" t="str">
        <x:v>无待补证事项。核定780.00元，已入账780.00元。</x:v>
      </x:c>
      <x:c r="G5" s="11" t="str">
        <x:v>停止对该供应商发起本单追偿，留存入账凭证；同单其他供应商独立处理</x:v>
      </x:c>
      <x:c r="H5" s="9" t="n">
        <x:v>1000</x:v>
      </x:c>
      <x:c r="I5" s="9" t="n">
        <x:v>780</x:v>
      </x:c>
      <x:c r="J5" s="9" t="n">
        <x:v>0</x:v>
      </x:c>
      <x:c r="K5" s="11" t="str">
        <x:v>warranty_claims.xlsx!索赔台账-华东!A13:I13；return_inspection.xlsx!责任链明细!A11:G11；policy_versions.xlsx!追偿政策版本!A15:F15；historical_recovery.csv!row3</x:v>
      </x:c>
    </x:row>
    <x:row r="6" ht="92" customHeight="1">
      <x:c r="A6" s="2" t="str">
        <x:v>WR-2026-0141</x:v>
      </x:c>
      <x:c r="B6" s="2" t="str">
        <x:v>EC-2026-0228</x:v>
      </x:c>
      <x:c r="C6" s="2" t="str">
        <x:v>星桥电子</x:v>
      </x:c>
      <x:c r="D6" s="11" t="str">
        <x:v>重复追偿</x:v>
      </x:c>
      <x:c r="E6" s="11" t="str">
        <x:v>已入账金额覆盖核定额</x:v>
      </x:c>
      <x:c r="F6" s="11" t="str">
        <x:v>无待补证事项。核定1638.00元，已入账1638.00元。</x:v>
      </x:c>
      <x:c r="G6" s="11" t="str">
        <x:v>停止对该供应商发起本单追偿，留存入账凭证；同单其他供应商独立处理</x:v>
      </x:c>
      <x:c r="H6" s="9" t="n">
        <x:v>2100</x:v>
      </x:c>
      <x:c r="I6" s="9" t="n">
        <x:v>1638</x:v>
      </x:c>
      <x:c r="J6" s="9" t="n">
        <x:v>0</x:v>
      </x:c>
      <x:c r="K6" s="11" t="str">
        <x:v>warranty_claims.xlsx!索赔台账-华东!A14:I14；return_inspection.xlsx!责任链明细!A22:G22；policy_versions.xlsx!追偿政策版本!A15:F15；contract_exceptions.csv!row3；historical_recovery.csv!row35</x:v>
      </x:c>
    </x:row>
    <x:row r="7" ht="92" customHeight="1">
      <x:c r="A7" s="2" t="str">
        <x:v>WR-2026-0101</x:v>
      </x:c>
      <x:c r="B7" s="2" t="str">
        <x:v>EC-2026-0238</x:v>
      </x:c>
      <x:c r="C7" s="2" t="str">
        <x:v>星桥电子</x:v>
      </x:c>
      <x:c r="D7" s="11" t="str">
        <x:v>事件链未闭环</x:v>
      </x:c>
      <x:c r="E7" s="11" t="str">
        <x:v>追偿受理条件</x:v>
      </x:c>
      <x:c r="F7" s="11" t="str">
        <x:v>RECOVERY_READY尚无READY状态；RETURN_INSPECTED尚无PASSED状态</x:v>
      </x:c>
      <x:c r="G7" s="11" t="str">
        <x:v>补齐RECOVERY_READY、RETURN_INSPECTED对应有效业务凭证后复核</x:v>
      </x:c>
      <x:c r="H7" s="9" t="n">
        <x:v>1700</x:v>
      </x:c>
      <x:c r="I7" s="9" t="n">
        <x:v>0</x:v>
      </x:c>
      <x:c r="J7" s="9" t="n">
        <x:v>1700</x:v>
      </x:c>
      <x:c r="K7" s="11" t="str">
        <x:v>warranty_claims.xlsx!claim_log_south!A5:I5；event_chain_log.csv!row75</x:v>
      </x:c>
    </x:row>
    <x:row r="8" ht="92" customHeight="1">
      <x:c r="A8" s="2" t="str">
        <x:v>WR-2026-0129</x:v>
      </x:c>
      <x:c r="B8" s="2" t="str">
        <x:v>EC-2026-0243</x:v>
      </x:c>
      <x:c r="C8" s="2" t="str">
        <x:v>南衡传动</x:v>
      </x:c>
      <x:c r="D8" s="11" t="str">
        <x:v>事件链未闭环</x:v>
      </x:c>
      <x:c r="E8" s="11" t="str">
        <x:v>追偿受理条件</x:v>
      </x:c>
      <x:c r="F8" s="11" t="str">
        <x:v>RECOVERY_READY尚无READY状态；HOLD_OPEN=OPEN</x:v>
      </x:c>
      <x:c r="G8" s="11" t="str">
        <x:v>取得质量冻结解除记录，并补齐RECOVERY_READY就绪凭据后复核追偿条件</x:v>
      </x:c>
      <x:c r="H8" s="9" t="n">
        <x:v>2500</x:v>
      </x:c>
      <x:c r="I8" s="9" t="n">
        <x:v>0</x:v>
      </x:c>
      <x:c r="J8" s="9" t="n">
        <x:v>2500</x:v>
      </x:c>
      <x:c r="K8" s="11" t="str">
        <x:v>warranty_claims.xlsx!claim_log_south!A6:I6；event_chain_log.csv!row79；event_chain_log.csv!row80</x:v>
      </x:c>
    </x:row>
    <x:row r="9" ht="92" customHeight="1">
      <x:c r="A9" s="2" t="str">
        <x:v>WR-2026-0109</x:v>
      </x:c>
      <x:c r="B9" s="2" t="str">
        <x:v>EC-2026-0240</x:v>
      </x:c>
      <x:c r="C9" s="2" t="str">
        <x:v>北陆材料</x:v>
      </x:c>
      <x:c r="D9" s="11" t="str">
        <x:v>事件链未闭环</x:v>
      </x:c>
      <x:c r="E9" s="11" t="str">
        <x:v>追偿受理条件</x:v>
      </x:c>
      <x:c r="F9" s="11" t="str">
        <x:v>RECOVERY_READY尚无READY状态；RETURN_INSPECTED尚无PASSED状态</x:v>
      </x:c>
      <x:c r="G9" s="11" t="str">
        <x:v>补齐RECOVERY_READY、RETURN_INSPECTED对应有效业务凭证后复核</x:v>
      </x:c>
      <x:c r="H9" s="9" t="n">
        <x:v>1200</x:v>
      </x:c>
      <x:c r="I9" s="9" t="n">
        <x:v>0</x:v>
      </x:c>
      <x:c r="J9" s="9" t="n">
        <x:v>1200</x:v>
      </x:c>
      <x:c r="K9" s="11" t="str">
        <x:v>warranty_claims.xlsx!claim_log_south!A7:I7；event_chain_log.csv!row84</x:v>
      </x:c>
    </x:row>
    <x:row r="10" ht="92" customHeight="1">
      <x:c r="A10" s="2" t="str">
        <x:v>WR-2026-0119</x:v>
      </x:c>
      <x:c r="B10" s="2" t="str">
        <x:v>EC-2026-0216</x:v>
      </x:c>
      <x:c r="C10" s="2" t="str">
        <x:v>云岱模组</x:v>
      </x:c>
      <x:c r="D10" s="11" t="str">
        <x:v>重复追偿</x:v>
      </x:c>
      <x:c r="E10" s="11" t="str">
        <x:v>已入账金额覆盖核定额</x:v>
      </x:c>
      <x:c r="F10" s="11" t="str">
        <x:v>无待补证事项。核定1044.00元，已入账1100.00元。</x:v>
      </x:c>
      <x:c r="G10" s="11" t="str">
        <x:v>停止对该供应商发起本单追偿，留存入账凭证；同单其他供应商独立处理</x:v>
      </x:c>
      <x:c r="H10" s="9" t="n">
        <x:v>1800</x:v>
      </x:c>
      <x:c r="I10" s="9" t="n">
        <x:v>1100</x:v>
      </x:c>
      <x:c r="J10" s="9" t="n">
        <x:v>0</x:v>
      </x:c>
      <x:c r="K10" s="11" t="str">
        <x:v>warranty_claims.xlsx!claim_log_south!A8:I8；return_inspection.xlsx!责任链明细!A15:G15；policy_versions.xlsx!追偿政策版本!A3:F3；historical_recovery.csv!row6</x:v>
      </x:c>
    </x:row>
  </x:sheetData>
  <x:pageMargins left="0.7" right="0.7" top="0.75" bottom="0.75" header="0.3" footer="0.3"/>
</x:worksheet>
</file>