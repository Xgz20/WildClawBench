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646c60d48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处置汇总" sheetId="1" r:id="R9929251277104531"/>
    <x:sheet xmlns:r="http://schemas.openxmlformats.org/officeDocument/2006/relationships" name="设备跟踪" sheetId="2" r:id="Rf66ffd7b163549bf"/>
    <x:sheet xmlns:r="http://schemas.openxmlformats.org/officeDocument/2006/relationships" name="拆出件" sheetId="3" r:id="R72f84e4eb4114099"/>
    <x:sheet xmlns:r="http://schemas.openxmlformats.org/officeDocument/2006/relationships" name="依据与口径" sheetId="4" r:id="R139db90cae18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C39"/>
      <x:name val="Microsoft YaHei"/>
    </x:font>
    <x:font>
      <x:b/>
      <x:sz val="14"/>
      <x:color rgb="FF141E2B"/>
      <x:name val="Microsoft YaHei"/>
    </x:font>
    <x:font>
      <x:sz val="10"/>
      <x:color rgb="FF1723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7A5100"/>
      </x:font>
      <x:fill>
        <x:patternFill patternType="solid">
          <x:bgColor rgb="FFFFF0C7"/>
        </x:patternFill>
      </x:fill>
    </x:dxf>
    <x:dxf>
      <x:font>
        <x:color rgb="FF9C231B"/>
      </x:font>
      <x:fill>
        <x:patternFill patternType="solid">
          <x:bgColor rgb="FFFC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d56d638ca480d" /><Relationship Type="http://schemas.openxmlformats.org/officeDocument/2006/relationships/theme" Target="/xl/theme/theme1.xml" Id="Re4cb997d64c845d3" /><Relationship Type="http://schemas.openxmlformats.org/officeDocument/2006/relationships/sharedStrings" Target="/xl/sharedStrings.xml" Id="R963e2fd6f1c84aec" /><Relationship Type="http://schemas.openxmlformats.org/officeDocument/2006/relationships/worksheet" Target="/xl/worksheets/sheet1.xml" Id="R9929251277104531" /><Relationship Type="http://schemas.openxmlformats.org/officeDocument/2006/relationships/worksheet" Target="/xl/worksheets/sheet2.xml" Id="Rf66ffd7b163549bf" /><Relationship Type="http://schemas.openxmlformats.org/officeDocument/2006/relationships/worksheet" Target="/xl/worksheets/sheet3.xml" Id="R72f84e4eb4114099" /><Relationship Type="http://schemas.openxmlformats.org/officeDocument/2006/relationships/worksheet" Target="/xl/worksheets/sheet4.xml" Id="R139db90cae184d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15" hidden="0" customWidth="1"/>
    <x:col min="3" max="3" width="64" hidden="0" customWidth="1"/>
  </x:cols>
  <x:sheetData>
    <x:row r="2">
      <x:c r="A2" s="2" t="str">
        <x:v>处置汇总</x:v>
      </x:c>
      <x:c r="B2" s="1"/>
      <x:c r="C2" s="1"/>
    </x:row>
    <x:row r="3">
      <x:c r="A3" s="1" t="str">
        <x:v>云栈P26专项换修 业务冻结2026-10-26 18:00</x:v>
      </x:c>
      <x:c r="B3" s="1"/>
      <x:c r="C3" s="1"/>
    </x:row>
    <x:row r="5" ht="36" customHeight="1">
      <x:c r="A5" s="8" t="str">
        <x:v>范围或状态</x:v>
      </x:c>
      <x:c r="B5" s="8" t="str">
        <x:v>数量</x:v>
      </x:c>
      <x:c r="C5" s="8" t="str">
        <x:v>口径</x:v>
      </x:c>
    </x:row>
    <x:row r="6" ht="32" customHeight="1">
      <x:c r="A6" s="5" t="str">
        <x:v>受影响</x:v>
      </x:c>
      <x:c r="B6" s="5" t="n">
        <x:f>COUNTIFS('设备跟踪'!$D$6:$D$125,A6)</x:f>
        <x:v>80</x:v>
      </x:c>
      <x:c r="C6" s="5" t="str"/>
    </x:row>
    <x:row r="7" ht="32" customHeight="1">
      <x:c r="A7" s="5" t="str">
        <x:v>不适用</x:v>
      </x:c>
      <x:c r="B7" s="5" t="n">
        <x:f>COUNTIFS('设备跟踪'!$D$6:$D$125,A7)</x:f>
        <x:v>15</x:v>
      </x:c>
      <x:c r="C7" s="5" t="str"/>
    </x:row>
    <x:row r="8" ht="32" customHeight="1">
      <x:c r="A8" s="5" t="str">
        <x:v>已整改</x:v>
      </x:c>
      <x:c r="B8" s="5" t="n">
        <x:f>COUNTIFS('设备跟踪'!$D$6:$D$125,A8)</x:f>
        <x:v>15</x:v>
      </x:c>
      <x:c r="C8" s="5" t="str">
        <x:v>设备完成整改，拆出件另行管理</x:v>
      </x:c>
    </x:row>
    <x:row r="9" ht="32" customHeight="1">
      <x:c r="A9" s="5" t="str">
        <x:v>待核实</x:v>
      </x:c>
      <x:c r="B9" s="5" t="n">
        <x:f>COUNTIFS('设备跟踪'!$D$6:$D$125,A9)</x:f>
        <x:v>5</x:v>
      </x:c>
      <x:c r="C9" s="5" t="str">
        <x:v>控制板身份待补，与去向待核实分开</x:v>
      </x:c>
    </x:row>
    <x:row r="10" ht="32" customHeight="1">
      <x:c r="A10" s="5" t="str">
        <x:v>已销毁</x:v>
      </x:c>
      <x:c r="B10" s="5" t="n">
        <x:f>COUNTIFS('设备跟踪'!$D$6:$D$125,A10)</x:f>
        <x:v>5</x:v>
      </x:c>
      <x:c r="C10" s="5" t="str"/>
    </x:row>
    <x:row r="11" ht="32" customHeight="1">
      <x:c r="A11" s="5" t="str">
        <x:v>P26设备合计</x:v>
      </x:c>
      <x:c r="B11" s="5" t="n">
        <x:f>SUM(B6:B10)</x:f>
        <x:v>120</x:v>
      </x:c>
      <x:c r="C11" s="5" t="str">
        <x:v>不包含P24 P28 P31</x:v>
      </x:c>
    </x:row>
    <x:row r="12" ht="32" customHeight="1">
      <x:c r="A12" s="5" t="str">
        <x:v>拆出问题板</x:v>
      </x:c>
      <x:c r="B12" s="5" t="n">
        <x:f>COUNTA('拆出件'!$A$6:$A$20)</x:f>
        <x:v>15</x:v>
      </x:c>
      <x:c r="C12" s="5" t="str">
        <x:v>单独封存，不计作整机</x:v>
      </x:c>
    </x:row>
    <x:row r="13" ht="32" customHeight="1">
      <x:c r="A13" s="5" t="str">
        <x:v>去向待核实</x:v>
      </x:c>
      <x:c r="B13" s="5" t="n">
        <x:f>COUNTIFS('设备跟踪'!$E$6:$E$125,"去向待核实")</x:f>
        <x:v>5</x:v>
      </x:c>
      <x:c r="C13" s="5" t="str">
        <x:v>质量范围已确认，仍需追踪实物</x:v>
      </x:c>
    </x:row>
    <x:row r="14" ht="32" customHeight="1">
      <x:c r="A14" s="5" t="str">
        <x:v>在途设备</x:v>
      </x:c>
      <x:c r="B14" s="5" t="n">
        <x:f>COUNTIFS('设备跟踪'!$E$6:$E$125,"在途")</x:f>
        <x:v>5</x:v>
      </x:c>
      <x:c r="C14" s="5" t="str">
        <x:v>拦截或收货后隔离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5" hidden="0" customWidth="1"/>
    <x:col min="10" max="10" width="40" hidden="0" customWidth="1"/>
  </x:cols>
  <x:sheetData>
    <x:row r="2">
      <x:c r="A2" s="2" t="str">
        <x:v>设备跟踪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云栈P26专项换修 业务冻结2026-10-26 18:00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5" ht="36" customHeight="1">
      <x:c r="A5" s="8" t="str">
        <x:v>设备UID</x:v>
      </x:c>
      <x:c r="B5" s="8" t="str">
        <x:v>当前机身序列号</x:v>
      </x:c>
      <x:c r="C5" s="8" t="str">
        <x:v>当前控制板</x:v>
      </x:c>
      <x:c r="D5" s="8" t="str">
        <x:v>范围结论</x:v>
      </x:c>
      <x:c r="E5" s="8" t="str">
        <x:v>实物状态</x:v>
      </x:c>
      <x:c r="F5" s="8" t="str">
        <x:v>持有方或去向</x:v>
      </x:c>
      <x:c r="G5" s="8" t="str">
        <x:v>服务责任渠道</x:v>
      </x:c>
      <x:c r="H5" s="8" t="str">
        <x:v>客户代号</x:v>
      </x:c>
      <x:c r="I5" s="8" t="str">
        <x:v>建议行动</x:v>
      </x:c>
      <x:c r="J5" s="8" t="str">
        <x:v>原始记录定位</x:v>
      </x:c>
    </x:row>
    <x:row r="6" ht="52" customHeight="1">
      <x:c r="A6" s="5" t="str">
        <x:v>U1012</x:v>
      </x:c>
      <x:c r="B6" s="5" t="str">
        <x:v>YZ26-001012</x:v>
      </x:c>
      <x:c r="C6" s="5" t="str">
        <x:v>B01012</x:v>
      </x:c>
      <x:c r="D6" s="5" t="str">
        <x:v>受影响</x:v>
      </x:c>
      <x:c r="E6" s="5" t="str">
        <x:v>在途</x:v>
      </x:c>
      <x:c r="F6" s="5" t="str">
        <x:v>承运商→C1012</x:v>
      </x:c>
      <x:c r="G6" s="5" t="str">
        <x:v>D01</x:v>
      </x:c>
      <x:c r="H6" s="5" t="str">
        <x:v>C1012</x:v>
      </x:c>
      <x:c r="I6" s="5" t="str">
        <x:v>联系拦截；失败则收货后隔离</x:v>
      </x:c>
      <x:c r="J6" s="5" t="str">
        <x:v>ME000003,LG000005</x:v>
      </x:c>
    </x:row>
    <x:row r="7" ht="52" customHeight="1">
      <x:c r="A7" s="5" t="str">
        <x:v>U1470</x:v>
      </x:c>
      <x:c r="B7" s="5" t="str">
        <x:v>YZ26-001470</x:v>
      </x:c>
      <x:c r="C7" s="5" t="str">
        <x:v>B01470</x:v>
      </x:c>
      <x:c r="D7" s="5" t="str">
        <x:v>不适用</x:v>
      </x:c>
      <x:c r="E7" s="5" t="str">
        <x:v>客户现场</x:v>
      </x:c>
      <x:c r="F7" s="5" t="str">
        <x:v>C1470</x:v>
      </x:c>
      <x:c r="G7" s="5" t="str">
        <x:v>D02</x:v>
      </x:c>
      <x:c r="H7" s="5" t="str">
        <x:v>C1470</x:v>
      </x:c>
      <x:c r="I7" s="5" t="str">
        <x:v>无需本次换修</x:v>
      </x:c>
      <x:c r="J7" s="5" t="str">
        <x:v>ME000012,LG000011</x:v>
      </x:c>
    </x:row>
    <x:row r="8" ht="52" customHeight="1">
      <x:c r="A8" s="5" t="str">
        <x:v>U1407</x:v>
      </x:c>
      <x:c r="B8" s="5" t="str">
        <x:v>YZ26-001407</x:v>
      </x:c>
      <x:c r="C8" s="5" t="str">
        <x:v>B01407</x:v>
      </x:c>
      <x:c r="D8" s="5" t="str">
        <x:v>受影响</x:v>
      </x:c>
      <x:c r="E8" s="5" t="str">
        <x:v>在途</x:v>
      </x:c>
      <x:c r="F8" s="5" t="str">
        <x:v>承运商→C1407</x:v>
      </x:c>
      <x:c r="G8" s="5" t="str">
        <x:v>D03</x:v>
      </x:c>
      <x:c r="H8" s="5" t="str">
        <x:v>C1407</x:v>
      </x:c>
      <x:c r="I8" s="5" t="str">
        <x:v>联系拦截；失败则收货后隔离</x:v>
      </x:c>
      <x:c r="J8" s="5" t="str">
        <x:v>ME000021,LG000016</x:v>
      </x:c>
    </x:row>
    <x:row r="9" ht="52" customHeight="1">
      <x:c r="A9" s="5" t="str">
        <x:v>U1431</x:v>
      </x:c>
      <x:c r="B9" s="5" t="str">
        <x:v>YZ26-001431</x:v>
      </x:c>
      <x:c r="C9" s="5" t="str">
        <x:v>B01431</x:v>
      </x:c>
      <x:c r="D9" s="5" t="str">
        <x:v>受影响</x:v>
      </x:c>
      <x:c r="E9" s="5" t="str">
        <x:v>客户现场</x:v>
      </x:c>
      <x:c r="F9" s="5" t="str">
        <x:v>C1431</x:v>
      </x:c>
      <x:c r="G9" s="5" t="str">
        <x:v>D04</x:v>
      </x:c>
      <x:c r="H9" s="5" t="str">
        <x:v>C1431</x:v>
      </x:c>
      <x:c r="I9" s="5" t="str">
        <x:v>暂停使用并安排免费换板</x:v>
      </x:c>
      <x:c r="J9" s="5" t="str">
        <x:v>ME000030,LG000022</x:v>
      </x:c>
    </x:row>
    <x:row r="10" ht="52" customHeight="1">
      <x:c r="A10" s="5" t="str">
        <x:v>U1447</x:v>
      </x:c>
      <x:c r="B10" s="5" t="str">
        <x:v>YZ26-001447</x:v>
      </x:c>
      <x:c r="C10" s="5" t="str">
        <x:v>B01447</x:v>
      </x:c>
      <x:c r="D10" s="5" t="str">
        <x:v>受影响</x:v>
      </x:c>
      <x:c r="E10" s="5" t="str">
        <x:v>客户现场</x:v>
      </x:c>
      <x:c r="F10" s="5" t="str">
        <x:v>C1447</x:v>
      </x:c>
      <x:c r="G10" s="5" t="str">
        <x:v>D05</x:v>
      </x:c>
      <x:c r="H10" s="5" t="str">
        <x:v>C1447</x:v>
      </x:c>
      <x:c r="I10" s="5" t="str">
        <x:v>暂停使用并安排免费换板</x:v>
      </x:c>
      <x:c r="J10" s="5" t="str">
        <x:v>ME000039,LG000028</x:v>
      </x:c>
    </x:row>
    <x:row r="11" ht="52" customHeight="1">
      <x:c r="A11" s="5" t="str">
        <x:v>U1024</x:v>
      </x:c>
      <x:c r="B11" s="5" t="str">
        <x:v>YZ26-001024</x:v>
      </x:c>
      <x:c r="C11" s="5" t="str">
        <x:v>RB01024</x:v>
      </x:c>
      <x:c r="D11" s="5" t="str">
        <x:v>受影响</x:v>
      </x:c>
      <x:c r="E11" s="5" t="str">
        <x:v>客户现场</x:v>
      </x:c>
      <x:c r="F11" s="5" t="str">
        <x:v>C1024</x:v>
      </x:c>
      <x:c r="G11" s="5" t="str">
        <x:v>D06</x:v>
      </x:c>
      <x:c r="H11" s="5" t="str">
        <x:v>C1024</x:v>
      </x:c>
      <x:c r="I11" s="5" t="str">
        <x:v>暂停使用并安排免费换板</x:v>
      </x:c>
      <x:c r="J11" s="5" t="str">
        <x:v>ME004323,ME004324,LG000034,QC00482</x:v>
      </x:c>
    </x:row>
    <x:row r="12" ht="52" customHeight="1">
      <x:c r="A12" s="5" t="str">
        <x:v>U1386</x:v>
      </x:c>
      <x:c r="B12" s="5" t="str">
        <x:v>YZ26-001386</x:v>
      </x:c>
      <x:c r="C12" s="5" t="str">
        <x:v>B01386</x:v>
      </x:c>
      <x:c r="D12" s="5" t="str">
        <x:v>受影响</x:v>
      </x:c>
      <x:c r="E12" s="5" t="str">
        <x:v>客户现场</x:v>
      </x:c>
      <x:c r="F12" s="5" t="str">
        <x:v>C1386</x:v>
      </x:c>
      <x:c r="G12" s="5" t="str">
        <x:v>D01</x:v>
      </x:c>
      <x:c r="H12" s="5" t="str">
        <x:v>C1386</x:v>
      </x:c>
      <x:c r="I12" s="5" t="str">
        <x:v>暂停使用并安排免费换板</x:v>
      </x:c>
      <x:c r="J12" s="5" t="str">
        <x:v>ME000057,LG000040</x:v>
      </x:c>
    </x:row>
    <x:row r="13" ht="52" customHeight="1">
      <x:c r="A13" s="5" t="str">
        <x:v>U1406</x:v>
      </x:c>
      <x:c r="B13" s="5" t="str">
        <x:v>YZ26-001406</x:v>
      </x:c>
      <x:c r="C13" s="5" t="str">
        <x:v>RB01406</x:v>
      </x:c>
      <x:c r="D13" s="5" t="str">
        <x:v>已整改</x:v>
      </x:c>
      <x:c r="E13" s="5" t="str">
        <x:v>客户现场</x:v>
      </x:c>
      <x:c r="F13" s="5" t="str">
        <x:v>C1406</x:v>
      </x:c>
      <x:c r="G13" s="5" t="str">
        <x:v>D02</x:v>
      </x:c>
      <x:c r="H13" s="5" t="str">
        <x:v>C1406</x:v>
      </x:c>
      <x:c r="I13" s="5" t="str">
        <x:v>设备结案；拆出件单独追踪</x:v>
      </x:c>
      <x:c r="J13" s="5" t="str">
        <x:v>ME004325,ME004326,LG000046,QC00483</x:v>
      </x:c>
    </x:row>
    <x:row r="14" ht="52" customHeight="1">
      <x:c r="A14" s="5" t="str">
        <x:v>U1167</x:v>
      </x:c>
      <x:c r="B14" s="5" t="str">
        <x:v>YZ26-001167</x:v>
      </x:c>
      <x:c r="C14" s="5" t="str">
        <x:v>B01167</x:v>
      </x:c>
      <x:c r="D14" s="5" t="str">
        <x:v>已销毁</x:v>
      </x:c>
      <x:c r="E14" s="5" t="str">
        <x:v>已销毁</x:v>
      </x:c>
      <x:c r="F14" s="5" t="str">
        <x:v>处置完成</x:v>
      </x:c>
      <x:c r="G14" s="5" t="str">
        <x:v>D03</x:v>
      </x:c>
      <x:c r="H14" s="5" t="str">
        <x:v>C1167</x:v>
      </x:c>
      <x:c r="I14" s="5" t="str">
        <x:v>归档销毁凭证</x:v>
      </x:c>
      <x:c r="J14" s="5" t="str">
        <x:v>ME000075,LG002878</x:v>
      </x:c>
    </x:row>
    <x:row r="15" ht="52" customHeight="1">
      <x:c r="A15" s="5" t="str">
        <x:v>U1160</x:v>
      </x:c>
      <x:c r="B15" s="5" t="str">
        <x:v>YZ26-001160</x:v>
      </x:c>
      <x:c r="C15" s="5" t="str">
        <x:v>RB01160</x:v>
      </x:c>
      <x:c r="D15" s="5" t="str">
        <x:v>已整改</x:v>
      </x:c>
      <x:c r="E15" s="5" t="str">
        <x:v>客户现场</x:v>
      </x:c>
      <x:c r="F15" s="5" t="str">
        <x:v>C1160</x:v>
      </x:c>
      <x:c r="G15" s="5" t="str">
        <x:v>D04</x:v>
      </x:c>
      <x:c r="H15" s="5" t="str">
        <x:v>C1160</x:v>
      </x:c>
      <x:c r="I15" s="5" t="str">
        <x:v>设备结案；拆出件单独追踪</x:v>
      </x:c>
      <x:c r="J15" s="5" t="str">
        <x:v>ME004327,ME004328,LG000058,QC00484</x:v>
      </x:c>
    </x:row>
    <x:row r="16" ht="52" customHeight="1">
      <x:c r="A16" s="5" t="str">
        <x:v>U1225</x:v>
      </x:c>
      <x:c r="B16" s="5" t="str">
        <x:v>YZ26-001225</x:v>
      </x:c>
      <x:c r="C16" s="5" t="str">
        <x:v>B01225</x:v>
      </x:c>
      <x:c r="D16" s="5" t="str">
        <x:v>受影响</x:v>
      </x:c>
      <x:c r="E16" s="5" t="str">
        <x:v>客户现场</x:v>
      </x:c>
      <x:c r="F16" s="5" t="str">
        <x:v>C1225</x:v>
      </x:c>
      <x:c r="G16" s="5" t="str">
        <x:v>D05</x:v>
      </x:c>
      <x:c r="H16" s="5" t="str">
        <x:v>C1225</x:v>
      </x:c>
      <x:c r="I16" s="5" t="str">
        <x:v>暂停使用并安排免费换板</x:v>
      </x:c>
      <x:c r="J16" s="5" t="str">
        <x:v>ME000093,LG000064</x:v>
      </x:c>
    </x:row>
    <x:row r="17" ht="52" customHeight="1">
      <x:c r="A17" s="5" t="str">
        <x:v>U1266</x:v>
      </x:c>
      <x:c r="B17" s="5" t="str">
        <x:v>YZ26-001266</x:v>
      </x:c>
      <x:c r="C17" s="5" t="str">
        <x:v>B01266</x:v>
      </x:c>
      <x:c r="D17" s="5" t="str">
        <x:v>受影响</x:v>
      </x:c>
      <x:c r="E17" s="5" t="str">
        <x:v>客户现场</x:v>
      </x:c>
      <x:c r="F17" s="5" t="str">
        <x:v>C1266</x:v>
      </x:c>
      <x:c r="G17" s="5" t="str">
        <x:v>D06</x:v>
      </x:c>
      <x:c r="H17" s="5" t="str">
        <x:v>C1266</x:v>
      </x:c>
      <x:c r="I17" s="5" t="str">
        <x:v>暂停使用并安排免费换板</x:v>
      </x:c>
      <x:c r="J17" s="5" t="str">
        <x:v>ME000102,LG000070,QC00485</x:v>
      </x:c>
    </x:row>
    <x:row r="18" ht="52" customHeight="1">
      <x:c r="A18" s="5" t="str">
        <x:v>U1292</x:v>
      </x:c>
      <x:c r="B18" s="5" t="str">
        <x:v>YZ26-001292</x:v>
      </x:c>
      <x:c r="C18" s="5" t="str">
        <x:v>B01292</x:v>
      </x:c>
      <x:c r="D18" s="5" t="str">
        <x:v>受影响</x:v>
      </x:c>
      <x:c r="E18" s="5" t="str">
        <x:v>渠道库存</x:v>
      </x:c>
      <x:c r="F18" s="5" t="str">
        <x:v>D02</x:v>
      </x:c>
      <x:c r="G18" s="5" t="str">
        <x:v>D02</x:v>
      </x:c>
      <x:c r="H18" s="5" t="str">
        <x:v>C1292</x:v>
      </x:c>
      <x:c r="I18" s="5" t="str">
        <x:v>隔离停售；安排免费换板</x:v>
      </x:c>
      <x:c r="J18" s="5" t="str">
        <x:v>ME000111,LG002881</x:v>
      </x:c>
    </x:row>
    <x:row r="19" ht="52" customHeight="1">
      <x:c r="A19" s="5" t="str">
        <x:v>U1196</x:v>
      </x:c>
      <x:c r="B19" s="5" t="str">
        <x:v>YZ26-001196</x:v>
      </x:c>
      <x:c r="C19" s="5" t="str">
        <x:v>RB01196</x:v>
      </x:c>
      <x:c r="D19" s="5" t="str">
        <x:v>已整改</x:v>
      </x:c>
      <x:c r="E19" s="5" t="str">
        <x:v>客户现场</x:v>
      </x:c>
      <x:c r="F19" s="5" t="str">
        <x:v>C1196</x:v>
      </x:c>
      <x:c r="G19" s="5" t="str">
        <x:v>D02</x:v>
      </x:c>
      <x:c r="H19" s="5" t="str">
        <x:v>C1196</x:v>
      </x:c>
      <x:c r="I19" s="5" t="str">
        <x:v>设备结案；拆出件单独追踪</x:v>
      </x:c>
      <x:c r="J19" s="5" t="str">
        <x:v>ME004329,ME004330,LG000082,QC00486</x:v>
      </x:c>
    </x:row>
    <x:row r="20" ht="52" customHeight="1">
      <x:c r="A20" s="5" t="str">
        <x:v>U1199</x:v>
      </x:c>
      <x:c r="B20" s="5" t="str">
        <x:v>YZ26-001199</x:v>
      </x:c>
      <x:c r="C20" s="5" t="str">
        <x:v>未登记</x:v>
      </x:c>
      <x:c r="D20" s="5" t="str">
        <x:v>待核实</x:v>
      </x:c>
      <x:c r="E20" s="5" t="str">
        <x:v>客户现场</x:v>
      </x:c>
      <x:c r="F20" s="5" t="str">
        <x:v>C1199</x:v>
      </x:c>
      <x:c r="G20" s="5" t="str">
        <x:v>D03</x:v>
      </x:c>
      <x:c r="H20" s="5" t="str">
        <x:v>C1199</x:v>
      </x:c>
      <x:c r="I20" s="5" t="str">
        <x:v>补板件身份；暂停使用或流转</x:v>
      </x:c>
      <x:c r="J20" s="5" t="str">
        <x:v>ME004331,ME004332,LG000088</x:v>
      </x:c>
    </x:row>
    <x:row r="21" ht="52" customHeight="1">
      <x:c r="A21" s="5" t="str">
        <x:v>U1092</x:v>
      </x:c>
      <x:c r="B21" s="5" t="str">
        <x:v>YZ26-001092</x:v>
      </x:c>
      <x:c r="C21" s="5" t="str">
        <x:v>B01092</x:v>
      </x:c>
      <x:c r="D21" s="5" t="str">
        <x:v>受影响</x:v>
      </x:c>
      <x:c r="E21" s="5" t="str">
        <x:v>在途</x:v>
      </x:c>
      <x:c r="F21" s="5" t="str">
        <x:v>承运商→C1092</x:v>
      </x:c>
      <x:c r="G21" s="5" t="str">
        <x:v>D04</x:v>
      </x:c>
      <x:c r="H21" s="5" t="str">
        <x:v>C1092</x:v>
      </x:c>
      <x:c r="I21" s="5" t="str">
        <x:v>联系拦截；失败则收货后隔离</x:v>
      </x:c>
      <x:c r="J21" s="5" t="str">
        <x:v>ME000138,LG000093</x:v>
      </x:c>
    </x:row>
    <x:row r="22" ht="52" customHeight="1">
      <x:c r="A22" s="5" t="str">
        <x:v>U1001</x:v>
      </x:c>
      <x:c r="B22" s="5" t="str">
        <x:v>YZ26-001001</x:v>
      </x:c>
      <x:c r="C22" s="5" t="str">
        <x:v>未登记</x:v>
      </x:c>
      <x:c r="D22" s="5" t="str">
        <x:v>待核实</x:v>
      </x:c>
      <x:c r="E22" s="5" t="str">
        <x:v>客户现场</x:v>
      </x:c>
      <x:c r="F22" s="5" t="str">
        <x:v>C1001</x:v>
      </x:c>
      <x:c r="G22" s="5" t="str">
        <x:v>D05</x:v>
      </x:c>
      <x:c r="H22" s="5" t="str">
        <x:v>C1001</x:v>
      </x:c>
      <x:c r="I22" s="5" t="str">
        <x:v>补板件身份；暂停使用或流转</x:v>
      </x:c>
      <x:c r="J22" s="5" t="str">
        <x:v>ME004333,ME004334,LG000099</x:v>
      </x:c>
    </x:row>
    <x:row r="23" ht="52" customHeight="1">
      <x:c r="A23" s="5" t="str">
        <x:v>U1290</x:v>
      </x:c>
      <x:c r="B23" s="5" t="str">
        <x:v>YZ26-001290R</x:v>
      </x:c>
      <x:c r="C23" s="5" t="str">
        <x:v>B01290</x:v>
      </x:c>
      <x:c r="D23" s="5" t="str">
        <x:v>受影响</x:v>
      </x:c>
      <x:c r="E23" s="5" t="str">
        <x:v>客户现场</x:v>
      </x:c>
      <x:c r="F23" s="5" t="str">
        <x:v>C1290</x:v>
      </x:c>
      <x:c r="G23" s="5" t="str">
        <x:v>D06</x:v>
      </x:c>
      <x:c r="H23" s="5" t="str">
        <x:v>C1290</x:v>
      </x:c>
      <x:c r="I23" s="5" t="str">
        <x:v>暂停使用并安排免费换板</x:v>
      </x:c>
      <x:c r="J23" s="5" t="str">
        <x:v>ME000156,LG000105,LB-U1290</x:v>
      </x:c>
    </x:row>
    <x:row r="24" ht="52" customHeight="1">
      <x:c r="A24" s="5" t="str">
        <x:v>U1464</x:v>
      </x:c>
      <x:c r="B24" s="5" t="str">
        <x:v>YZ26-001464</x:v>
      </x:c>
      <x:c r="C24" s="5" t="str">
        <x:v>B01464</x:v>
      </x:c>
      <x:c r="D24" s="5" t="str">
        <x:v>受影响</x:v>
      </x:c>
      <x:c r="E24" s="5" t="str">
        <x:v>客户现场</x:v>
      </x:c>
      <x:c r="F24" s="5" t="str">
        <x:v>C1464</x:v>
      </x:c>
      <x:c r="G24" s="5" t="str">
        <x:v>D01</x:v>
      </x:c>
      <x:c r="H24" s="5" t="str">
        <x:v>C1464</x:v>
      </x:c>
      <x:c r="I24" s="5" t="str">
        <x:v>暂停使用并安排免费换板</x:v>
      </x:c>
      <x:c r="J24" s="5" t="str">
        <x:v>ME000165,LG000111</x:v>
      </x:c>
    </x:row>
    <x:row r="25" ht="52" customHeight="1">
      <x:c r="A25" s="5" t="str">
        <x:v>U1348</x:v>
      </x:c>
      <x:c r="B25" s="5" t="str">
        <x:v>YZ26-001348</x:v>
      </x:c>
      <x:c r="C25" s="5" t="str">
        <x:v>B01348</x:v>
      </x:c>
      <x:c r="D25" s="5" t="str">
        <x:v>受影响</x:v>
      </x:c>
      <x:c r="E25" s="5" t="str">
        <x:v>客户现场</x:v>
      </x:c>
      <x:c r="F25" s="5" t="str">
        <x:v>C1348</x:v>
      </x:c>
      <x:c r="G25" s="5" t="str">
        <x:v>D02</x:v>
      </x:c>
      <x:c r="H25" s="5" t="str">
        <x:v>C1348</x:v>
      </x:c>
      <x:c r="I25" s="5" t="str">
        <x:v>暂停使用并安排免费换板</x:v>
      </x:c>
      <x:c r="J25" s="5" t="str">
        <x:v>ME000174,LG000117,QC00487</x:v>
      </x:c>
    </x:row>
    <x:row r="26" ht="52" customHeight="1">
      <x:c r="A26" s="5" t="str">
        <x:v>U1075</x:v>
      </x:c>
      <x:c r="B26" s="5" t="str">
        <x:v>YZ26-001075</x:v>
      </x:c>
      <x:c r="C26" s="5" t="str">
        <x:v>B01075</x:v>
      </x:c>
      <x:c r="D26" s="5" t="str">
        <x:v>受影响</x:v>
      </x:c>
      <x:c r="E26" s="5" t="str">
        <x:v>客户现场</x:v>
      </x:c>
      <x:c r="F26" s="5" t="str">
        <x:v>C1075</x:v>
      </x:c>
      <x:c r="G26" s="5" t="str">
        <x:v>D03</x:v>
      </x:c>
      <x:c r="H26" s="5" t="str">
        <x:v>C1075</x:v>
      </x:c>
      <x:c r="I26" s="5" t="str">
        <x:v>暂停使用并安排免费换板</x:v>
      </x:c>
      <x:c r="J26" s="5" t="str">
        <x:v>ME000183,LG000123</x:v>
      </x:c>
    </x:row>
    <x:row r="27" ht="52" customHeight="1">
      <x:c r="A27" s="5" t="str">
        <x:v>U1379</x:v>
      </x:c>
      <x:c r="B27" s="5" t="str">
        <x:v>YZ26-001379R</x:v>
      </x:c>
      <x:c r="C27" s="5" t="str">
        <x:v>B01379</x:v>
      </x:c>
      <x:c r="D27" s="5" t="str">
        <x:v>受影响</x:v>
      </x:c>
      <x:c r="E27" s="5" t="str">
        <x:v>客户现场</x:v>
      </x:c>
      <x:c r="F27" s="5" t="str">
        <x:v>C1379</x:v>
      </x:c>
      <x:c r="G27" s="5" t="str">
        <x:v>D04</x:v>
      </x:c>
      <x:c r="H27" s="5" t="str">
        <x:v>C1379</x:v>
      </x:c>
      <x:c r="I27" s="5" t="str">
        <x:v>暂停使用并安排免费换板</x:v>
      </x:c>
      <x:c r="J27" s="5" t="str">
        <x:v>ME000192,LG000129,LB-U1379</x:v>
      </x:c>
    </x:row>
    <x:row r="28" ht="52" customHeight="1">
      <x:c r="A28" s="5" t="str">
        <x:v>U1340</x:v>
      </x:c>
      <x:c r="B28" s="5" t="str">
        <x:v>YZ26-001340</x:v>
      </x:c>
      <x:c r="C28" s="5" t="str">
        <x:v>RB01340</x:v>
      </x:c>
      <x:c r="D28" s="5" t="str">
        <x:v>受影响</x:v>
      </x:c>
      <x:c r="E28" s="5" t="str">
        <x:v>客户现场</x:v>
      </x:c>
      <x:c r="F28" s="5" t="str">
        <x:v>C1340</x:v>
      </x:c>
      <x:c r="G28" s="5" t="str">
        <x:v>D05</x:v>
      </x:c>
      <x:c r="H28" s="5" t="str">
        <x:v>C1340</x:v>
      </x:c>
      <x:c r="I28" s="5" t="str">
        <x:v>暂停使用并安排免费换板</x:v>
      </x:c>
      <x:c r="J28" s="5" t="str">
        <x:v>ME004335,ME004336,LG000135,QC00488</x:v>
      </x:c>
    </x:row>
    <x:row r="29" ht="52" customHeight="1">
      <x:c r="A29" s="5" t="str">
        <x:v>U1218</x:v>
      </x:c>
      <x:c r="B29" s="5" t="str">
        <x:v>YZ26-001218</x:v>
      </x:c>
      <x:c r="C29" s="5" t="str">
        <x:v>B01218</x:v>
      </x:c>
      <x:c r="D29" s="5" t="str">
        <x:v>受影响</x:v>
      </x:c>
      <x:c r="E29" s="5" t="str">
        <x:v>客户现场</x:v>
      </x:c>
      <x:c r="F29" s="5" t="str">
        <x:v>C1218</x:v>
      </x:c>
      <x:c r="G29" s="5" t="str">
        <x:v>D06</x:v>
      </x:c>
      <x:c r="H29" s="5" t="str">
        <x:v>C1218</x:v>
      </x:c>
      <x:c r="I29" s="5" t="str">
        <x:v>暂停使用并安排免费换板</x:v>
      </x:c>
      <x:c r="J29" s="5" t="str">
        <x:v>ME000210,LG000141</x:v>
      </x:c>
    </x:row>
    <x:row r="30" ht="52" customHeight="1">
      <x:c r="A30" s="5" t="str">
        <x:v>U1082</x:v>
      </x:c>
      <x:c r="B30" s="5" t="str">
        <x:v>YZ26-001082</x:v>
      </x:c>
      <x:c r="C30" s="5" t="str">
        <x:v>RB01082</x:v>
      </x:c>
      <x:c r="D30" s="5" t="str">
        <x:v>已整改</x:v>
      </x:c>
      <x:c r="E30" s="5" t="str">
        <x:v>客户现场</x:v>
      </x:c>
      <x:c r="F30" s="5" t="str">
        <x:v>C1082</x:v>
      </x:c>
      <x:c r="G30" s="5" t="str">
        <x:v>D01</x:v>
      </x:c>
      <x:c r="H30" s="5" t="str">
        <x:v>C1082</x:v>
      </x:c>
      <x:c r="I30" s="5" t="str">
        <x:v>设备结案；拆出件单独追踪</x:v>
      </x:c>
      <x:c r="J30" s="5" t="str">
        <x:v>ME004337,ME004338,LG000147,QC00489</x:v>
      </x:c>
    </x:row>
    <x:row r="31" ht="52" customHeight="1">
      <x:c r="A31" s="5" t="str">
        <x:v>U1145</x:v>
      </x:c>
      <x:c r="B31" s="5" t="str">
        <x:v>YZ26-001145</x:v>
      </x:c>
      <x:c r="C31" s="5" t="str">
        <x:v>B01145</x:v>
      </x:c>
      <x:c r="D31" s="5" t="str">
        <x:v>已销毁</x:v>
      </x:c>
      <x:c r="E31" s="5" t="str">
        <x:v>已销毁</x:v>
      </x:c>
      <x:c r="F31" s="5" t="str">
        <x:v>处置完成</x:v>
      </x:c>
      <x:c r="G31" s="5" t="str">
        <x:v>D02</x:v>
      </x:c>
      <x:c r="H31" s="5" t="str">
        <x:v>C1145</x:v>
      </x:c>
      <x:c r="I31" s="5" t="str">
        <x:v>归档销毁凭证</x:v>
      </x:c>
      <x:c r="J31" s="5" t="str">
        <x:v>ME000228,LG002886</x:v>
      </x:c>
    </x:row>
    <x:row r="32" ht="52" customHeight="1">
      <x:c r="A32" s="5" t="str">
        <x:v>U1057</x:v>
      </x:c>
      <x:c r="B32" s="5" t="str">
        <x:v>YZ26-001057</x:v>
      </x:c>
      <x:c r="C32" s="5" t="str">
        <x:v>B01057</x:v>
      </x:c>
      <x:c r="D32" s="5" t="str">
        <x:v>已销毁</x:v>
      </x:c>
      <x:c r="E32" s="5" t="str">
        <x:v>已销毁</x:v>
      </x:c>
      <x:c r="F32" s="5" t="str">
        <x:v>处置完成</x:v>
      </x:c>
      <x:c r="G32" s="5" t="str">
        <x:v>D03</x:v>
      </x:c>
      <x:c r="H32" s="5" t="str">
        <x:v>C1057</x:v>
      </x:c>
      <x:c r="I32" s="5" t="str">
        <x:v>归档销毁凭证</x:v>
      </x:c>
      <x:c r="J32" s="5" t="str">
        <x:v>ME000237,LG002888</x:v>
      </x:c>
    </x:row>
    <x:row r="33" ht="52" customHeight="1">
      <x:c r="A33" s="5" t="str">
        <x:v>U1252</x:v>
      </x:c>
      <x:c r="B33" s="5" t="str">
        <x:v>YZ26-001252R</x:v>
      </x:c>
      <x:c r="C33" s="5" t="str">
        <x:v>B01252</x:v>
      </x:c>
      <x:c r="D33" s="5" t="str">
        <x:v>受影响</x:v>
      </x:c>
      <x:c r="E33" s="5" t="str">
        <x:v>客户现场</x:v>
      </x:c>
      <x:c r="F33" s="5" t="str">
        <x:v>C1252</x:v>
      </x:c>
      <x:c r="G33" s="5" t="str">
        <x:v>D04</x:v>
      </x:c>
      <x:c r="H33" s="5" t="str">
        <x:v>C1252</x:v>
      </x:c>
      <x:c r="I33" s="5" t="str">
        <x:v>暂停使用并安排免费换板</x:v>
      </x:c>
      <x:c r="J33" s="5" t="str">
        <x:v>ME000246,LG000165,LB-U1252</x:v>
      </x:c>
    </x:row>
    <x:row r="34" ht="52" customHeight="1">
      <x:c r="A34" s="5" t="str">
        <x:v>U1462</x:v>
      </x:c>
      <x:c r="B34" s="5" t="str">
        <x:v>YZ26-001462</x:v>
      </x:c>
      <x:c r="C34" s="5" t="str">
        <x:v>B01462</x:v>
      </x:c>
      <x:c r="D34" s="5" t="str">
        <x:v>不适用</x:v>
      </x:c>
      <x:c r="E34" s="5" t="str">
        <x:v>客户现场</x:v>
      </x:c>
      <x:c r="F34" s="5" t="str">
        <x:v>C1462</x:v>
      </x:c>
      <x:c r="G34" s="5" t="str">
        <x:v>D05</x:v>
      </x:c>
      <x:c r="H34" s="5" t="str">
        <x:v>C1462</x:v>
      </x:c>
      <x:c r="I34" s="5" t="str">
        <x:v>无需本次换修</x:v>
      </x:c>
      <x:c r="J34" s="5" t="str">
        <x:v>ME000255,LG000171,QC00490</x:v>
      </x:c>
    </x:row>
    <x:row r="35" ht="52" customHeight="1">
      <x:c r="A35" s="5" t="str">
        <x:v>U1325</x:v>
      </x:c>
      <x:c r="B35" s="5" t="str">
        <x:v>YZ26-001325</x:v>
      </x:c>
      <x:c r="C35" s="5" t="str">
        <x:v>B01406</x:v>
      </x:c>
      <x:c r="D35" s="5" t="str">
        <x:v>受影响</x:v>
      </x:c>
      <x:c r="E35" s="5" t="str">
        <x:v>客户现场</x:v>
      </x:c>
      <x:c r="F35" s="5" t="str">
        <x:v>C1325</x:v>
      </x:c>
      <x:c r="G35" s="5" t="str">
        <x:v>D06</x:v>
      </x:c>
      <x:c r="H35" s="5" t="str">
        <x:v>C1325</x:v>
      </x:c>
      <x:c r="I35" s="5" t="str">
        <x:v>暂停使用并安排免费换板</x:v>
      </x:c>
      <x:c r="J35" s="5" t="str">
        <x:v>ME004401,ME004402,LG000177</x:v>
      </x:c>
    </x:row>
    <x:row r="36" ht="52" customHeight="1">
      <x:c r="A36" s="5" t="str">
        <x:v>U1006</x:v>
      </x:c>
      <x:c r="B36" s="5" t="str">
        <x:v>YZ26-001006</x:v>
      </x:c>
      <x:c r="C36" s="5" t="str">
        <x:v>B01006</x:v>
      </x:c>
      <x:c r="D36" s="5" t="str">
        <x:v>受影响</x:v>
      </x:c>
      <x:c r="E36" s="5" t="str">
        <x:v>客户现场</x:v>
      </x:c>
      <x:c r="F36" s="5" t="str">
        <x:v>C1006</x:v>
      </x:c>
      <x:c r="G36" s="5" t="str">
        <x:v>D01</x:v>
      </x:c>
      <x:c r="H36" s="5" t="str">
        <x:v>C1006</x:v>
      </x:c>
      <x:c r="I36" s="5" t="str">
        <x:v>暂停使用并安排免费换板</x:v>
      </x:c>
      <x:c r="J36" s="5" t="str">
        <x:v>ME000273,LG000183</x:v>
      </x:c>
    </x:row>
    <x:row r="37" ht="52" customHeight="1">
      <x:c r="A37" s="5" t="str">
        <x:v>U1420</x:v>
      </x:c>
      <x:c r="B37" s="5" t="str">
        <x:v>YZ26-001420</x:v>
      </x:c>
      <x:c r="C37" s="5" t="str">
        <x:v>B01420</x:v>
      </x:c>
      <x:c r="D37" s="5" t="str">
        <x:v>受影响</x:v>
      </x:c>
      <x:c r="E37" s="5" t="str">
        <x:v>客户现场</x:v>
      </x:c>
      <x:c r="F37" s="5" t="str">
        <x:v>C1420</x:v>
      </x:c>
      <x:c r="G37" s="5" t="str">
        <x:v>D02</x:v>
      </x:c>
      <x:c r="H37" s="5" t="str">
        <x:v>C1420</x:v>
      </x:c>
      <x:c r="I37" s="5" t="str">
        <x:v>暂停使用并安排免费换板</x:v>
      </x:c>
      <x:c r="J37" s="5" t="str">
        <x:v>ME000282,LG000189</x:v>
      </x:c>
    </x:row>
    <x:row r="38" ht="52" customHeight="1">
      <x:c r="A38" s="5" t="str">
        <x:v>U1285</x:v>
      </x:c>
      <x:c r="B38" s="5" t="str">
        <x:v>YZ26-001285</x:v>
      </x:c>
      <x:c r="C38" s="5" t="str">
        <x:v>B01285</x:v>
      </x:c>
      <x:c r="D38" s="5" t="str">
        <x:v>受影响</x:v>
      </x:c>
      <x:c r="E38" s="5" t="str">
        <x:v>渠道库存</x:v>
      </x:c>
      <x:c r="F38" s="5" t="str">
        <x:v>D03</x:v>
      </x:c>
      <x:c r="G38" s="5" t="str">
        <x:v>D03</x:v>
      </x:c>
      <x:c r="H38" s="5" t="str">
        <x:v>C1285</x:v>
      </x:c>
      <x:c r="I38" s="5" t="str">
        <x:v>隔离停售；安排免费换板</x:v>
      </x:c>
      <x:c r="J38" s="5" t="str">
        <x:v>ME000291,LG002889</x:v>
      </x:c>
    </x:row>
    <x:row r="39" ht="52" customHeight="1">
      <x:c r="A39" s="5" t="str">
        <x:v>U1126</x:v>
      </x:c>
      <x:c r="B39" s="5" t="str">
        <x:v>YZ26-001126</x:v>
      </x:c>
      <x:c r="C39" s="5" t="str">
        <x:v>RB01126</x:v>
      </x:c>
      <x:c r="D39" s="5" t="str">
        <x:v>受影响</x:v>
      </x:c>
      <x:c r="E39" s="5" t="str">
        <x:v>客户现场</x:v>
      </x:c>
      <x:c r="F39" s="5" t="str">
        <x:v>C1126</x:v>
      </x:c>
      <x:c r="G39" s="5" t="str">
        <x:v>D04</x:v>
      </x:c>
      <x:c r="H39" s="5" t="str">
        <x:v>C1126</x:v>
      </x:c>
      <x:c r="I39" s="5" t="str">
        <x:v>暂停使用并安排免费换板</x:v>
      </x:c>
      <x:c r="J39" s="5" t="str">
        <x:v>ME004341,ME004342,LG000201,QC00492</x:v>
      </x:c>
    </x:row>
    <x:row r="40" ht="52" customHeight="1">
      <x:c r="A40" s="5" t="str">
        <x:v>U1148</x:v>
      </x:c>
      <x:c r="B40" s="5" t="str">
        <x:v>YZ26-001148</x:v>
      </x:c>
      <x:c r="C40" s="5" t="str">
        <x:v>RB01148</x:v>
      </x:c>
      <x:c r="D40" s="5" t="str">
        <x:v>已整改</x:v>
      </x:c>
      <x:c r="E40" s="5" t="str">
        <x:v>客户现场</x:v>
      </x:c>
      <x:c r="F40" s="5" t="str">
        <x:v>C1148</x:v>
      </x:c>
      <x:c r="G40" s="5" t="str">
        <x:v>D05</x:v>
      </x:c>
      <x:c r="H40" s="5" t="str">
        <x:v>C1148</x:v>
      </x:c>
      <x:c r="I40" s="5" t="str">
        <x:v>设备结案；拆出件单独追踪</x:v>
      </x:c>
      <x:c r="J40" s="5" t="str">
        <x:v>ME004343,ME004344,LG000207,QC00493</x:v>
      </x:c>
    </x:row>
    <x:row r="41" ht="52" customHeight="1">
      <x:c r="A41" s="5" t="str">
        <x:v>U1176</x:v>
      </x:c>
      <x:c r="B41" s="5" t="str">
        <x:v>YZ26-001176</x:v>
      </x:c>
      <x:c r="C41" s="5" t="str">
        <x:v>B01176</x:v>
      </x:c>
      <x:c r="D41" s="5" t="str">
        <x:v>受影响</x:v>
      </x:c>
      <x:c r="E41" s="5" t="str">
        <x:v>渠道库存</x:v>
      </x:c>
      <x:c r="F41" s="5" t="str">
        <x:v>D01</x:v>
      </x:c>
      <x:c r="G41" s="5" t="str">
        <x:v>D01</x:v>
      </x:c>
      <x:c r="H41" s="5" t="str">
        <x:v>C1176</x:v>
      </x:c>
      <x:c r="I41" s="5" t="str">
        <x:v>隔离停售；安排免费换板</x:v>
      </x:c>
      <x:c r="J41" s="5" t="str">
        <x:v>ME000318,LG002892</x:v>
      </x:c>
    </x:row>
    <x:row r="42" ht="52" customHeight="1">
      <x:c r="A42" s="5" t="str">
        <x:v>U1467</x:v>
      </x:c>
      <x:c r="B42" s="5" t="str">
        <x:v>YZ26-001467</x:v>
      </x:c>
      <x:c r="C42" s="5" t="str">
        <x:v>未登记</x:v>
      </x:c>
      <x:c r="D42" s="5" t="str">
        <x:v>待核实</x:v>
      </x:c>
      <x:c r="E42" s="5" t="str">
        <x:v>客户现场</x:v>
      </x:c>
      <x:c r="F42" s="5" t="str">
        <x:v>C1467</x:v>
      </x:c>
      <x:c r="G42" s="5" t="str">
        <x:v>D01</x:v>
      </x:c>
      <x:c r="H42" s="5" t="str">
        <x:v>C1467</x:v>
      </x:c>
      <x:c r="I42" s="5" t="str">
        <x:v>补板件身份；暂停使用或流转</x:v>
      </x:c>
      <x:c r="J42" s="5" t="str">
        <x:v>ME004345,ME004346,LG000219</x:v>
      </x:c>
    </x:row>
    <x:row r="43" ht="52" customHeight="1">
      <x:c r="A43" s="5" t="str">
        <x:v>U1303</x:v>
      </x:c>
      <x:c r="B43" s="5" t="str">
        <x:v>YZ26-001303</x:v>
      </x:c>
      <x:c r="C43" s="5" t="str">
        <x:v>B01303</x:v>
      </x:c>
      <x:c r="D43" s="5" t="str">
        <x:v>受影响</x:v>
      </x:c>
      <x:c r="E43" s="5" t="str">
        <x:v>渠道库存</x:v>
      </x:c>
      <x:c r="F43" s="5" t="str">
        <x:v>D02</x:v>
      </x:c>
      <x:c r="G43" s="5" t="str">
        <x:v>D02</x:v>
      </x:c>
      <x:c r="H43" s="5" t="str">
        <x:v>C1303</x:v>
      </x:c>
      <x:c r="I43" s="5" t="str">
        <x:v>隔离停售；安排免费换板</x:v>
      </x:c>
      <x:c r="J43" s="5" t="str">
        <x:v>ME000336,LG002893</x:v>
      </x:c>
    </x:row>
    <x:row r="44" ht="52" customHeight="1">
      <x:c r="A44" s="5" t="str">
        <x:v>U1020</x:v>
      </x:c>
      <x:c r="B44" s="5" t="str">
        <x:v>YZ26-001020</x:v>
      </x:c>
      <x:c r="C44" s="5" t="str">
        <x:v>B01020</x:v>
      </x:c>
      <x:c r="D44" s="5" t="str">
        <x:v>受影响</x:v>
      </x:c>
      <x:c r="E44" s="5" t="str">
        <x:v>去向待核实</x:v>
      </x:c>
      <x:c r="F44" s="5" t="str">
        <x:v>待核实</x:v>
      </x:c>
      <x:c r="G44" s="5" t="str">
        <x:v>D03</x:v>
      </x:c>
      <x:c r="H44" s="5" t="str">
        <x:v>C1020</x:v>
      </x:c>
      <x:c r="I44" s="5" t="str">
        <x:v>追踪实物；确认前不得结案</x:v>
      </x:c>
      <x:c r="J44" s="5" t="str">
        <x:v>ME000345,LG002895</x:v>
      </x:c>
    </x:row>
    <x:row r="45" ht="52" customHeight="1">
      <x:c r="A45" s="5" t="str">
        <x:v>U1131</x:v>
      </x:c>
      <x:c r="B45" s="5" t="str">
        <x:v>YZ26-001131</x:v>
      </x:c>
      <x:c r="C45" s="5" t="str">
        <x:v>B01131</x:v>
      </x:c>
      <x:c r="D45" s="5" t="str">
        <x:v>受影响</x:v>
      </x:c>
      <x:c r="E45" s="5" t="str">
        <x:v>客户现场</x:v>
      </x:c>
      <x:c r="F45" s="5" t="str">
        <x:v>C1131</x:v>
      </x:c>
      <x:c r="G45" s="5" t="str">
        <x:v>D04</x:v>
      </x:c>
      <x:c r="H45" s="5" t="str">
        <x:v>C1131</x:v>
      </x:c>
      <x:c r="I45" s="5" t="str">
        <x:v>暂停使用并安排免费换板</x:v>
      </x:c>
      <x:c r="J45" s="5" t="str">
        <x:v>ME000354,LG000237,QC00494</x:v>
      </x:c>
    </x:row>
    <x:row r="46" ht="52" customHeight="1">
      <x:c r="A46" s="5" t="str">
        <x:v>U1263</x:v>
      </x:c>
      <x:c r="B46" s="5" t="str">
        <x:v>YZ26-001263</x:v>
      </x:c>
      <x:c r="C46" s="5" t="str">
        <x:v>B01263</x:v>
      </x:c>
      <x:c r="D46" s="5" t="str">
        <x:v>不适用</x:v>
      </x:c>
      <x:c r="E46" s="5" t="str">
        <x:v>客户现场</x:v>
      </x:c>
      <x:c r="F46" s="5" t="str">
        <x:v>C1225</x:v>
      </x:c>
      <x:c r="G46" s="5" t="str">
        <x:v>D05</x:v>
      </x:c>
      <x:c r="H46" s="5" t="str">
        <x:v>C1225</x:v>
      </x:c>
      <x:c r="I46" s="5" t="str">
        <x:v>无需本次换修</x:v>
      </x:c>
      <x:c r="J46" s="5" t="str">
        <x:v>ME000363,LG000243</x:v>
      </x:c>
    </x:row>
    <x:row r="47" ht="52" customHeight="1">
      <x:c r="A47" s="5" t="str">
        <x:v>U1150</x:v>
      </x:c>
      <x:c r="B47" s="5" t="str">
        <x:v>YZ26-001150</x:v>
      </x:c>
      <x:c r="C47" s="5" t="str">
        <x:v>B01150</x:v>
      </x:c>
      <x:c r="D47" s="5" t="str">
        <x:v>受影响</x:v>
      </x:c>
      <x:c r="E47" s="5" t="str">
        <x:v>渠道库存</x:v>
      </x:c>
      <x:c r="F47" s="5" t="str">
        <x:v>D01</x:v>
      </x:c>
      <x:c r="G47" s="5" t="str">
        <x:v>D01</x:v>
      </x:c>
      <x:c r="H47" s="5" t="str">
        <x:v>C1150</x:v>
      </x:c>
      <x:c r="I47" s="5" t="str">
        <x:v>隔离停售；安排免费换板</x:v>
      </x:c>
      <x:c r="J47" s="5" t="str">
        <x:v>ME000372,LG002898</x:v>
      </x:c>
    </x:row>
    <x:row r="48" ht="52" customHeight="1">
      <x:c r="A48" s="5" t="str">
        <x:v>U1287</x:v>
      </x:c>
      <x:c r="B48" s="5" t="str">
        <x:v>YZ26-001287</x:v>
      </x:c>
      <x:c r="C48" s="5" t="str">
        <x:v>B01287</x:v>
      </x:c>
      <x:c r="D48" s="5" t="str">
        <x:v>受影响</x:v>
      </x:c>
      <x:c r="E48" s="5" t="str">
        <x:v>客户现场</x:v>
      </x:c>
      <x:c r="F48" s="5" t="str">
        <x:v>C1287</x:v>
      </x:c>
      <x:c r="G48" s="5" t="str">
        <x:v>D01</x:v>
      </x:c>
      <x:c r="H48" s="5" t="str">
        <x:v>C1287</x:v>
      </x:c>
      <x:c r="I48" s="5" t="str">
        <x:v>暂停使用并安排免费换板</x:v>
      </x:c>
      <x:c r="J48" s="5" t="str">
        <x:v>ME000381,LG000255</x:v>
      </x:c>
    </x:row>
    <x:row r="49" ht="52" customHeight="1">
      <x:c r="A49" s="5" t="str">
        <x:v>U1222</x:v>
      </x:c>
      <x:c r="B49" s="5" t="str">
        <x:v>YZ26-001222</x:v>
      </x:c>
      <x:c r="C49" s="5" t="str">
        <x:v>B01222</x:v>
      </x:c>
      <x:c r="D49" s="5" t="str">
        <x:v>受影响</x:v>
      </x:c>
      <x:c r="E49" s="5" t="str">
        <x:v>客户现场</x:v>
      </x:c>
      <x:c r="F49" s="5" t="str">
        <x:v>C1222</x:v>
      </x:c>
      <x:c r="G49" s="5" t="str">
        <x:v>D02</x:v>
      </x:c>
      <x:c r="H49" s="5" t="str">
        <x:v>C1222</x:v>
      </x:c>
      <x:c r="I49" s="5" t="str">
        <x:v>暂停使用并安排免费换板</x:v>
      </x:c>
      <x:c r="J49" s="5" t="str">
        <x:v>ME000390,LG000261</x:v>
      </x:c>
    </x:row>
    <x:row r="50" ht="52" customHeight="1">
      <x:c r="A50" s="5" t="str">
        <x:v>U1015</x:v>
      </x:c>
      <x:c r="B50" s="5" t="str">
        <x:v>YZ26-001015</x:v>
      </x:c>
      <x:c r="C50" s="5" t="str">
        <x:v>B01015</x:v>
      </x:c>
      <x:c r="D50" s="5" t="str">
        <x:v>受影响</x:v>
      </x:c>
      <x:c r="E50" s="5" t="str">
        <x:v>客户现场</x:v>
      </x:c>
      <x:c r="F50" s="5" t="str">
        <x:v>C1015</x:v>
      </x:c>
      <x:c r="G50" s="5" t="str">
        <x:v>D03</x:v>
      </x:c>
      <x:c r="H50" s="5" t="str">
        <x:v>C1015</x:v>
      </x:c>
      <x:c r="I50" s="5" t="str">
        <x:v>暂停使用并安排免费换板</x:v>
      </x:c>
      <x:c r="J50" s="5" t="str">
        <x:v>ME004347,ME004348,ME004349,ME004350,LG000267</x:v>
      </x:c>
    </x:row>
    <x:row r="51" ht="52" customHeight="1">
      <x:c r="A51" s="5" t="str">
        <x:v>U1308</x:v>
      </x:c>
      <x:c r="B51" s="5" t="str">
        <x:v>YZ26-001308</x:v>
      </x:c>
      <x:c r="C51" s="5" t="str">
        <x:v>B01308</x:v>
      </x:c>
      <x:c r="D51" s="5" t="str">
        <x:v>受影响</x:v>
      </x:c>
      <x:c r="E51" s="5" t="str">
        <x:v>在途</x:v>
      </x:c>
      <x:c r="F51" s="5" t="str">
        <x:v>承运商→C1308</x:v>
      </x:c>
      <x:c r="G51" s="5" t="str">
        <x:v>D04</x:v>
      </x:c>
      <x:c r="H51" s="5" t="str">
        <x:v>C1308</x:v>
      </x:c>
      <x:c r="I51" s="5" t="str">
        <x:v>联系拦截；失败则收货后隔离</x:v>
      </x:c>
      <x:c r="J51" s="5" t="str">
        <x:v>ME000408,LG000272</x:v>
      </x:c>
    </x:row>
    <x:row r="52" ht="52" customHeight="1">
      <x:c r="A52" s="5" t="str">
        <x:v>U1054</x:v>
      </x:c>
      <x:c r="B52" s="5" t="str">
        <x:v>YZ26-001054</x:v>
      </x:c>
      <x:c r="C52" s="5" t="str">
        <x:v>B01054</x:v>
      </x:c>
      <x:c r="D52" s="5" t="str">
        <x:v>受影响</x:v>
      </x:c>
      <x:c r="E52" s="5" t="str">
        <x:v>客户现场</x:v>
      </x:c>
      <x:c r="F52" s="5" t="str">
        <x:v>C1054</x:v>
      </x:c>
      <x:c r="G52" s="5" t="str">
        <x:v>D05</x:v>
      </x:c>
      <x:c r="H52" s="5" t="str">
        <x:v>C1054</x:v>
      </x:c>
      <x:c r="I52" s="5" t="str">
        <x:v>暂停使用并安排免费换板</x:v>
      </x:c>
      <x:c r="J52" s="5" t="str">
        <x:v>ME000417,LG000278</x:v>
      </x:c>
    </x:row>
    <x:row r="53" ht="52" customHeight="1">
      <x:c r="A53" s="5" t="str">
        <x:v>U1125</x:v>
      </x:c>
      <x:c r="B53" s="5" t="str">
        <x:v>YZ26-001125</x:v>
      </x:c>
      <x:c r="C53" s="5" t="str">
        <x:v>B01125</x:v>
      </x:c>
      <x:c r="D53" s="5" t="str">
        <x:v>受影响</x:v>
      </x:c>
      <x:c r="E53" s="5" t="str">
        <x:v>客户现场</x:v>
      </x:c>
      <x:c r="F53" s="5" t="str">
        <x:v>C1125</x:v>
      </x:c>
      <x:c r="G53" s="5" t="str">
        <x:v>D06</x:v>
      </x:c>
      <x:c r="H53" s="5" t="str">
        <x:v>C1125</x:v>
      </x:c>
      <x:c r="I53" s="5" t="str">
        <x:v>暂停使用并安排免费换板</x:v>
      </x:c>
      <x:c r="J53" s="5" t="str">
        <x:v>ME000426,LG000284</x:v>
      </x:c>
    </x:row>
    <x:row r="54" ht="52" customHeight="1">
      <x:c r="A54" s="5" t="str">
        <x:v>U1296</x:v>
      </x:c>
      <x:c r="B54" s="5" t="str">
        <x:v>YZ26-001296</x:v>
      </x:c>
      <x:c r="C54" s="5" t="str">
        <x:v>B01296</x:v>
      </x:c>
      <x:c r="D54" s="5" t="str">
        <x:v>受影响</x:v>
      </x:c>
      <x:c r="E54" s="5" t="str">
        <x:v>客户现场</x:v>
      </x:c>
      <x:c r="F54" s="5" t="str">
        <x:v>C1296</x:v>
      </x:c>
      <x:c r="G54" s="5" t="str">
        <x:v>D01</x:v>
      </x:c>
      <x:c r="H54" s="5" t="str">
        <x:v>C1296</x:v>
      </x:c>
      <x:c r="I54" s="5" t="str">
        <x:v>暂停使用并安排免费换板</x:v>
      </x:c>
      <x:c r="J54" s="5" t="str">
        <x:v>ME000435,LG000290</x:v>
      </x:c>
    </x:row>
    <x:row r="55" ht="52" customHeight="1">
      <x:c r="A55" s="5" t="str">
        <x:v>U1274</x:v>
      </x:c>
      <x:c r="B55" s="5" t="str">
        <x:v>YZ26-001274</x:v>
      </x:c>
      <x:c r="C55" s="5" t="str">
        <x:v>B01274</x:v>
      </x:c>
      <x:c r="D55" s="5" t="str">
        <x:v>受影响</x:v>
      </x:c>
      <x:c r="E55" s="5" t="str">
        <x:v>客户现场</x:v>
      </x:c>
      <x:c r="F55" s="5" t="str">
        <x:v>C1274</x:v>
      </x:c>
      <x:c r="G55" s="5" t="str">
        <x:v>D02</x:v>
      </x:c>
      <x:c r="H55" s="5" t="str">
        <x:v>C1274</x:v>
      </x:c>
      <x:c r="I55" s="5" t="str">
        <x:v>暂停使用并安排免费换板</x:v>
      </x:c>
      <x:c r="J55" s="5" t="str">
        <x:v>ME004353,ME004354,ME004355,ME004356,LG000296</x:v>
      </x:c>
    </x:row>
    <x:row r="56" ht="52" customHeight="1">
      <x:c r="A56" s="5" t="str">
        <x:v>U1085</x:v>
      </x:c>
      <x:c r="B56" s="5" t="str">
        <x:v>YZ26-001085</x:v>
      </x:c>
      <x:c r="C56" s="5" t="str">
        <x:v>RB01085</x:v>
      </x:c>
      <x:c r="D56" s="5" t="str">
        <x:v>受影响</x:v>
      </x:c>
      <x:c r="E56" s="5" t="str">
        <x:v>客户现场</x:v>
      </x:c>
      <x:c r="F56" s="5" t="str">
        <x:v>C1085</x:v>
      </x:c>
      <x:c r="G56" s="5" t="str">
        <x:v>D03</x:v>
      </x:c>
      <x:c r="H56" s="5" t="str">
        <x:v>C1085</x:v>
      </x:c>
      <x:c r="I56" s="5" t="str">
        <x:v>暂停使用并安排免费换板</x:v>
      </x:c>
      <x:c r="J56" s="5" t="str">
        <x:v>ME004357,ME004358,LG000302,QC00496</x:v>
      </x:c>
    </x:row>
    <x:row r="57" ht="52" customHeight="1">
      <x:c r="A57" s="5" t="str">
        <x:v>U1304</x:v>
      </x:c>
      <x:c r="B57" s="5" t="str">
        <x:v>YZ26-001304</x:v>
      </x:c>
      <x:c r="C57" s="5" t="str">
        <x:v>B01304</x:v>
      </x:c>
      <x:c r="D57" s="5" t="str">
        <x:v>不适用</x:v>
      </x:c>
      <x:c r="E57" s="5" t="str">
        <x:v>客户现场</x:v>
      </x:c>
      <x:c r="F57" s="5" t="str">
        <x:v>C1464</x:v>
      </x:c>
      <x:c r="G57" s="5" t="str">
        <x:v>D01</x:v>
      </x:c>
      <x:c r="H57" s="5" t="str">
        <x:v>C1464</x:v>
      </x:c>
      <x:c r="I57" s="5" t="str">
        <x:v>无需本次换修</x:v>
      </x:c>
      <x:c r="J57" s="5" t="str">
        <x:v>ME000462,LG000308</x:v>
      </x:c>
    </x:row>
    <x:row r="58" ht="52" customHeight="1">
      <x:c r="A58" s="5" t="str">
        <x:v>U1357</x:v>
      </x:c>
      <x:c r="B58" s="5" t="str">
        <x:v>YZ26-001357</x:v>
      </x:c>
      <x:c r="C58" s="5" t="str">
        <x:v>B01357</x:v>
      </x:c>
      <x:c r="D58" s="5" t="str">
        <x:v>受影响</x:v>
      </x:c>
      <x:c r="E58" s="5" t="str">
        <x:v>客户现场</x:v>
      </x:c>
      <x:c r="F58" s="5" t="str">
        <x:v>C1357</x:v>
      </x:c>
      <x:c r="G58" s="5" t="str">
        <x:v>D05</x:v>
      </x:c>
      <x:c r="H58" s="5" t="str">
        <x:v>C1357</x:v>
      </x:c>
      <x:c r="I58" s="5" t="str">
        <x:v>暂停使用并安排免费换板</x:v>
      </x:c>
      <x:c r="J58" s="5" t="str">
        <x:v>ME004359,ME004360,ME004361,ME004362,LG000314</x:v>
      </x:c>
    </x:row>
    <x:row r="59" ht="52" customHeight="1">
      <x:c r="A59" s="5" t="str">
        <x:v>U1283</x:v>
      </x:c>
      <x:c r="B59" s="5" t="str">
        <x:v>YZ26-001283</x:v>
      </x:c>
      <x:c r="C59" s="5" t="str">
        <x:v>未登记</x:v>
      </x:c>
      <x:c r="D59" s="5" t="str">
        <x:v>待核实</x:v>
      </x:c>
      <x:c r="E59" s="5" t="str">
        <x:v>客户现场</x:v>
      </x:c>
      <x:c r="F59" s="5" t="str">
        <x:v>C1283</x:v>
      </x:c>
      <x:c r="G59" s="5" t="str">
        <x:v>D06</x:v>
      </x:c>
      <x:c r="H59" s="5" t="str">
        <x:v>C1283</x:v>
      </x:c>
      <x:c r="I59" s="5" t="str">
        <x:v>补板件身份；暂停使用或流转</x:v>
      </x:c>
      <x:c r="J59" s="5" t="str">
        <x:v>ME004363,ME004364,LG000320</x:v>
      </x:c>
    </x:row>
    <x:row r="60" ht="52" customHeight="1">
      <x:c r="A60" s="5" t="str">
        <x:v>U1087</x:v>
      </x:c>
      <x:c r="B60" s="5" t="str">
        <x:v>YZ26-001087</x:v>
      </x:c>
      <x:c r="C60" s="5" t="str">
        <x:v>B01087</x:v>
      </x:c>
      <x:c r="D60" s="5" t="str">
        <x:v>受影响</x:v>
      </x:c>
      <x:c r="E60" s="5" t="str">
        <x:v>客户现场</x:v>
      </x:c>
      <x:c r="F60" s="5" t="str">
        <x:v>C1087</x:v>
      </x:c>
      <x:c r="G60" s="5" t="str">
        <x:v>D01</x:v>
      </x:c>
      <x:c r="H60" s="5" t="str">
        <x:v>C1087</x:v>
      </x:c>
      <x:c r="I60" s="5" t="str">
        <x:v>暂停使用并安排免费换板</x:v>
      </x:c>
      <x:c r="J60" s="5" t="str">
        <x:v>ME000489,LG000326</x:v>
      </x:c>
    </x:row>
    <x:row r="61" ht="52" customHeight="1">
      <x:c r="A61" s="5" t="str">
        <x:v>U1080</x:v>
      </x:c>
      <x:c r="B61" s="5" t="str">
        <x:v>YZ26-001080</x:v>
      </x:c>
      <x:c r="C61" s="5" t="str">
        <x:v>B01080</x:v>
      </x:c>
      <x:c r="D61" s="5" t="str">
        <x:v>受影响</x:v>
      </x:c>
      <x:c r="E61" s="5" t="str">
        <x:v>客户现场</x:v>
      </x:c>
      <x:c r="F61" s="5" t="str">
        <x:v>C1080</x:v>
      </x:c>
      <x:c r="G61" s="5" t="str">
        <x:v>D02</x:v>
      </x:c>
      <x:c r="H61" s="5" t="str">
        <x:v>C1080</x:v>
      </x:c>
      <x:c r="I61" s="5" t="str">
        <x:v>暂停使用并安排免费换板</x:v>
      </x:c>
      <x:c r="J61" s="5" t="str">
        <x:v>ME000498,LG000332,QC00497</x:v>
      </x:c>
    </x:row>
    <x:row r="62" ht="52" customHeight="1">
      <x:c r="A62" s="5" t="str">
        <x:v>U1111</x:v>
      </x:c>
      <x:c r="B62" s="5" t="str">
        <x:v>YZ26-001111</x:v>
      </x:c>
      <x:c r="C62" s="5" t="str">
        <x:v>B01111</x:v>
      </x:c>
      <x:c r="D62" s="5" t="str">
        <x:v>受影响</x:v>
      </x:c>
      <x:c r="E62" s="5" t="str">
        <x:v>客户现场</x:v>
      </x:c>
      <x:c r="F62" s="5" t="str">
        <x:v>C1111</x:v>
      </x:c>
      <x:c r="G62" s="5" t="str">
        <x:v>D03</x:v>
      </x:c>
      <x:c r="H62" s="5" t="str">
        <x:v>C1111</x:v>
      </x:c>
      <x:c r="I62" s="5" t="str">
        <x:v>暂停使用并安排免费换板</x:v>
      </x:c>
      <x:c r="J62" s="5" t="str">
        <x:v>ME000507,LG000338</x:v>
      </x:c>
    </x:row>
    <x:row r="63" ht="52" customHeight="1">
      <x:c r="A63" s="5" t="str">
        <x:v>U1476</x:v>
      </x:c>
      <x:c r="B63" s="5" t="str">
        <x:v>YZ26-001476</x:v>
      </x:c>
      <x:c r="C63" s="5" t="str">
        <x:v>B01196</x:v>
      </x:c>
      <x:c r="D63" s="5" t="str">
        <x:v>受影响</x:v>
      </x:c>
      <x:c r="E63" s="5" t="str">
        <x:v>客户现场</x:v>
      </x:c>
      <x:c r="F63" s="5" t="str">
        <x:v>C1476</x:v>
      </x:c>
      <x:c r="G63" s="5" t="str">
        <x:v>D04</x:v>
      </x:c>
      <x:c r="H63" s="5" t="str">
        <x:v>C1476</x:v>
      </x:c>
      <x:c r="I63" s="5" t="str">
        <x:v>暂停使用并安排免费换板</x:v>
      </x:c>
      <x:c r="J63" s="5" t="str">
        <x:v>ME004403,ME004404,LG000344</x:v>
      </x:c>
    </x:row>
    <x:row r="64" ht="52" customHeight="1">
      <x:c r="A64" s="5" t="str">
        <x:v>U1183</x:v>
      </x:c>
      <x:c r="B64" s="5" t="str">
        <x:v>YZ26-001183</x:v>
      </x:c>
      <x:c r="C64" s="5" t="str">
        <x:v>B01183</x:v>
      </x:c>
      <x:c r="D64" s="5" t="str">
        <x:v>已销毁</x:v>
      </x:c>
      <x:c r="E64" s="5" t="str">
        <x:v>已销毁</x:v>
      </x:c>
      <x:c r="F64" s="5" t="str">
        <x:v>处置完成</x:v>
      </x:c>
      <x:c r="G64" s="5" t="str">
        <x:v>D05</x:v>
      </x:c>
      <x:c r="H64" s="5" t="str">
        <x:v>C1183</x:v>
      </x:c>
      <x:c r="I64" s="5" t="str">
        <x:v>归档销毁凭证</x:v>
      </x:c>
      <x:c r="J64" s="5" t="str">
        <x:v>ME000525,LG002901</x:v>
      </x:c>
    </x:row>
    <x:row r="65" ht="52" customHeight="1">
      <x:c r="A65" s="5" t="str">
        <x:v>U1478</x:v>
      </x:c>
      <x:c r="B65" s="5" t="str">
        <x:v>YZ26-001478</x:v>
      </x:c>
      <x:c r="C65" s="5" t="str">
        <x:v>B01478</x:v>
      </x:c>
      <x:c r="D65" s="5" t="str">
        <x:v>受影响</x:v>
      </x:c>
      <x:c r="E65" s="5" t="str">
        <x:v>渠道库存</x:v>
      </x:c>
      <x:c r="F65" s="5" t="str">
        <x:v>D06</x:v>
      </x:c>
      <x:c r="G65" s="5" t="str">
        <x:v>D06</x:v>
      </x:c>
      <x:c r="H65" s="5" t="str">
        <x:v>C1478</x:v>
      </x:c>
      <x:c r="I65" s="5" t="str">
        <x:v>隔离停售；安排免费换板</x:v>
      </x:c>
      <x:c r="J65" s="5" t="str">
        <x:v>ME000534,LG002902</x:v>
      </x:c>
    </x:row>
    <x:row r="66" ht="52" customHeight="1">
      <x:c r="A66" s="5" t="str">
        <x:v>U1093</x:v>
      </x:c>
      <x:c r="B66" s="5" t="str">
        <x:v>YZ26-001093</x:v>
      </x:c>
      <x:c r="C66" s="5" t="str">
        <x:v>B01093</x:v>
      </x:c>
      <x:c r="D66" s="5" t="str">
        <x:v>受影响</x:v>
      </x:c>
      <x:c r="E66" s="5" t="str">
        <x:v>客户现场</x:v>
      </x:c>
      <x:c r="F66" s="5" t="str">
        <x:v>C1093</x:v>
      </x:c>
      <x:c r="G66" s="5" t="str">
        <x:v>D01</x:v>
      </x:c>
      <x:c r="H66" s="5" t="str">
        <x:v>C1093</x:v>
      </x:c>
      <x:c r="I66" s="5" t="str">
        <x:v>暂停使用并安排免费换板</x:v>
      </x:c>
      <x:c r="J66" s="5" t="str">
        <x:v>ME000543,LG000362</x:v>
      </x:c>
    </x:row>
    <x:row r="67" ht="52" customHeight="1">
      <x:c r="A67" s="5" t="str">
        <x:v>U1368</x:v>
      </x:c>
      <x:c r="B67" s="5" t="str">
        <x:v>YZ26-001368</x:v>
      </x:c>
      <x:c r="C67" s="5" t="str">
        <x:v>B01368</x:v>
      </x:c>
      <x:c r="D67" s="5" t="str">
        <x:v>不适用</x:v>
      </x:c>
      <x:c r="E67" s="5" t="str">
        <x:v>客户现场</x:v>
      </x:c>
      <x:c r="F67" s="5" t="str">
        <x:v>C1368</x:v>
      </x:c>
      <x:c r="G67" s="5" t="str">
        <x:v>D02</x:v>
      </x:c>
      <x:c r="H67" s="5" t="str">
        <x:v>C1368</x:v>
      </x:c>
      <x:c r="I67" s="5" t="str">
        <x:v>无需本次换修</x:v>
      </x:c>
      <x:c r="J67" s="5" t="str">
        <x:v>ME000552,LG000368</x:v>
      </x:c>
    </x:row>
    <x:row r="68" ht="52" customHeight="1">
      <x:c r="A68" s="5" t="str">
        <x:v>U1358</x:v>
      </x:c>
      <x:c r="B68" s="5" t="str">
        <x:v>YZ26-001358</x:v>
      </x:c>
      <x:c r="C68" s="5" t="str">
        <x:v>B01358</x:v>
      </x:c>
      <x:c r="D68" s="5" t="str">
        <x:v>受影响</x:v>
      </x:c>
      <x:c r="E68" s="5" t="str">
        <x:v>客户现场</x:v>
      </x:c>
      <x:c r="F68" s="5" t="str">
        <x:v>C1358</x:v>
      </x:c>
      <x:c r="G68" s="5" t="str">
        <x:v>D03</x:v>
      </x:c>
      <x:c r="H68" s="5" t="str">
        <x:v>C1358</x:v>
      </x:c>
      <x:c r="I68" s="5" t="str">
        <x:v>暂停使用并安排免费换板</x:v>
      </x:c>
      <x:c r="J68" s="5" t="str">
        <x:v>ME000561,LG000374</x:v>
      </x:c>
    </x:row>
    <x:row r="69" ht="52" customHeight="1">
      <x:c r="A69" s="5" t="str">
        <x:v>U1200</x:v>
      </x:c>
      <x:c r="B69" s="5" t="str">
        <x:v>YZ26-001200</x:v>
      </x:c>
      <x:c r="C69" s="5" t="str">
        <x:v>B01200</x:v>
      </x:c>
      <x:c r="D69" s="5" t="str">
        <x:v>已销毁</x:v>
      </x:c>
      <x:c r="E69" s="5" t="str">
        <x:v>已销毁</x:v>
      </x:c>
      <x:c r="F69" s="5" t="str">
        <x:v>处置完成</x:v>
      </x:c>
      <x:c r="G69" s="5" t="str">
        <x:v>D04</x:v>
      </x:c>
      <x:c r="H69" s="5" t="str">
        <x:v>C1200</x:v>
      </x:c>
      <x:c r="I69" s="5" t="str">
        <x:v>归档销毁凭证</x:v>
      </x:c>
      <x:c r="J69" s="5" t="str">
        <x:v>ME000570,LG002904</x:v>
      </x:c>
    </x:row>
    <x:row r="70" ht="52" customHeight="1">
      <x:c r="A70" s="5" t="str">
        <x:v>U1124</x:v>
      </x:c>
      <x:c r="B70" s="5" t="str">
        <x:v>YZ26-001124</x:v>
      </x:c>
      <x:c r="C70" s="5" t="str">
        <x:v>B01124</x:v>
      </x:c>
      <x:c r="D70" s="5" t="str">
        <x:v>受影响</x:v>
      </x:c>
      <x:c r="E70" s="5" t="str">
        <x:v>客户现场</x:v>
      </x:c>
      <x:c r="F70" s="5" t="str">
        <x:v>C1124</x:v>
      </x:c>
      <x:c r="G70" s="5" t="str">
        <x:v>D05</x:v>
      </x:c>
      <x:c r="H70" s="5" t="str">
        <x:v>C1124</x:v>
      </x:c>
      <x:c r="I70" s="5" t="str">
        <x:v>暂停使用并安排免费换板</x:v>
      </x:c>
      <x:c r="J70" s="5" t="str">
        <x:v>ME004367,ME004368,ME004369,ME004370,LG000386</x:v>
      </x:c>
    </x:row>
    <x:row r="71" ht="52" customHeight="1">
      <x:c r="A71" s="5" t="str">
        <x:v>U1165</x:v>
      </x:c>
      <x:c r="B71" s="5" t="str">
        <x:v>YZ26-001165</x:v>
      </x:c>
      <x:c r="C71" s="5" t="str">
        <x:v>B01165</x:v>
      </x:c>
      <x:c r="D71" s="5" t="str">
        <x:v>受影响</x:v>
      </x:c>
      <x:c r="E71" s="5" t="str">
        <x:v>客户现场</x:v>
      </x:c>
      <x:c r="F71" s="5" t="str">
        <x:v>C1165</x:v>
      </x:c>
      <x:c r="G71" s="5" t="str">
        <x:v>D06</x:v>
      </x:c>
      <x:c r="H71" s="5" t="str">
        <x:v>C1165</x:v>
      </x:c>
      <x:c r="I71" s="5" t="str">
        <x:v>暂停使用并安排免费换板</x:v>
      </x:c>
      <x:c r="J71" s="5" t="str">
        <x:v>ME000588,LG000392</x:v>
      </x:c>
    </x:row>
    <x:row r="72" ht="52" customHeight="1">
      <x:c r="A72" s="5" t="str">
        <x:v>U1295</x:v>
      </x:c>
      <x:c r="B72" s="5" t="str">
        <x:v>YZ26-001295</x:v>
      </x:c>
      <x:c r="C72" s="5" t="str">
        <x:v>B01295</x:v>
      </x:c>
      <x:c r="D72" s="5" t="str">
        <x:v>受影响</x:v>
      </x:c>
      <x:c r="E72" s="5" t="str">
        <x:v>客户现场</x:v>
      </x:c>
      <x:c r="F72" s="5" t="str">
        <x:v>C1295</x:v>
      </x:c>
      <x:c r="G72" s="5" t="str">
        <x:v>D01</x:v>
      </x:c>
      <x:c r="H72" s="5" t="str">
        <x:v>C1295</x:v>
      </x:c>
      <x:c r="I72" s="5" t="str">
        <x:v>暂停使用并安排免费换板</x:v>
      </x:c>
      <x:c r="J72" s="5" t="str">
        <x:v>ME000597,LG000398</x:v>
      </x:c>
    </x:row>
    <x:row r="73" ht="52" customHeight="1">
      <x:c r="A73" s="5" t="str">
        <x:v>U1310</x:v>
      </x:c>
      <x:c r="B73" s="5" t="str">
        <x:v>YZ26-001310</x:v>
      </x:c>
      <x:c r="C73" s="5" t="str">
        <x:v>B01310</x:v>
      </x:c>
      <x:c r="D73" s="5" t="str">
        <x:v>不适用</x:v>
      </x:c>
      <x:c r="E73" s="5" t="str">
        <x:v>客户现场</x:v>
      </x:c>
      <x:c r="F73" s="5" t="str">
        <x:v>C1310</x:v>
      </x:c>
      <x:c r="G73" s="5" t="str">
        <x:v>D02</x:v>
      </x:c>
      <x:c r="H73" s="5" t="str">
        <x:v>C1310</x:v>
      </x:c>
      <x:c r="I73" s="5" t="str">
        <x:v>无需本次换修</x:v>
      </x:c>
      <x:c r="J73" s="5" t="str">
        <x:v>ME000606,LG000404,QC00499</x:v>
      </x:c>
    </x:row>
    <x:row r="74" ht="52" customHeight="1">
      <x:c r="A74" s="5" t="str">
        <x:v>U1437</x:v>
      </x:c>
      <x:c r="B74" s="5" t="str">
        <x:v>YZ26-001437</x:v>
      </x:c>
      <x:c r="C74" s="5" t="str">
        <x:v>B01437</x:v>
      </x:c>
      <x:c r="D74" s="5" t="str">
        <x:v>受影响</x:v>
      </x:c>
      <x:c r="E74" s="5" t="str">
        <x:v>去向待核实</x:v>
      </x:c>
      <x:c r="F74" s="5" t="str">
        <x:v>待核实</x:v>
      </x:c>
      <x:c r="G74" s="5" t="str">
        <x:v>D03</x:v>
      </x:c>
      <x:c r="H74" s="5" t="str">
        <x:v>C1437</x:v>
      </x:c>
      <x:c r="I74" s="5" t="str">
        <x:v>追踪实物；确认前不得结案</x:v>
      </x:c>
      <x:c r="J74" s="5" t="str">
        <x:v>ME000615,LG002906</x:v>
      </x:c>
    </x:row>
    <x:row r="75" ht="52" customHeight="1">
      <x:c r="A75" s="5" t="str">
        <x:v>U1137</x:v>
      </x:c>
      <x:c r="B75" s="5" t="str">
        <x:v>YZ26-001137</x:v>
      </x:c>
      <x:c r="C75" s="5" t="str">
        <x:v>RB01137</x:v>
      </x:c>
      <x:c r="D75" s="5" t="str">
        <x:v>受影响</x:v>
      </x:c>
      <x:c r="E75" s="5" t="str">
        <x:v>客户现场</x:v>
      </x:c>
      <x:c r="F75" s="5" t="str">
        <x:v>C1137</x:v>
      </x:c>
      <x:c r="G75" s="5" t="str">
        <x:v>D04</x:v>
      </x:c>
      <x:c r="H75" s="5" t="str">
        <x:v>C1137</x:v>
      </x:c>
      <x:c r="I75" s="5" t="str">
        <x:v>暂停使用并安排免费换板</x:v>
      </x:c>
      <x:c r="J75" s="5" t="str">
        <x:v>ME004371,ME004372,LG000416,QC00500</x:v>
      </x:c>
    </x:row>
    <x:row r="76" ht="52" customHeight="1">
      <x:c r="A76" s="5" t="str">
        <x:v>U1211</x:v>
      </x:c>
      <x:c r="B76" s="5" t="str">
        <x:v>YZ26-001211</x:v>
      </x:c>
      <x:c r="C76" s="5" t="str">
        <x:v>B01211</x:v>
      </x:c>
      <x:c r="D76" s="5" t="str">
        <x:v>受影响</x:v>
      </x:c>
      <x:c r="E76" s="5" t="str">
        <x:v>渠道库存</x:v>
      </x:c>
      <x:c r="F76" s="5" t="str">
        <x:v>D06</x:v>
      </x:c>
      <x:c r="G76" s="5" t="str">
        <x:v>D06</x:v>
      </x:c>
      <x:c r="H76" s="5" t="str">
        <x:v>C1211</x:v>
      </x:c>
      <x:c r="I76" s="5" t="str">
        <x:v>隔离停售；安排免费换板</x:v>
      </x:c>
      <x:c r="J76" s="5" t="str">
        <x:v>ME000633,LG002909</x:v>
      </x:c>
    </x:row>
    <x:row r="77" ht="52" customHeight="1">
      <x:c r="A77" s="5" t="str">
        <x:v>U1007</x:v>
      </x:c>
      <x:c r="B77" s="5" t="str">
        <x:v>YZ26-001007</x:v>
      </x:c>
      <x:c r="C77" s="5" t="str">
        <x:v>B01007</x:v>
      </x:c>
      <x:c r="D77" s="5" t="str">
        <x:v>受影响</x:v>
      </x:c>
      <x:c r="E77" s="5" t="str">
        <x:v>渠道库存</x:v>
      </x:c>
      <x:c r="F77" s="5" t="str">
        <x:v>D06</x:v>
      </x:c>
      <x:c r="G77" s="5" t="str">
        <x:v>D06</x:v>
      </x:c>
      <x:c r="H77" s="5" t="str">
        <x:v>C1007</x:v>
      </x:c>
      <x:c r="I77" s="5" t="str">
        <x:v>隔离停售；安排免费换板</x:v>
      </x:c>
      <x:c r="J77" s="5" t="str">
        <x:v>ME000642,LG002910</x:v>
      </x:c>
    </x:row>
    <x:row r="78" ht="52" customHeight="1">
      <x:c r="A78" s="5" t="str">
        <x:v>U1217</x:v>
      </x:c>
      <x:c r="B78" s="5" t="str">
        <x:v>YZ26-001217</x:v>
      </x:c>
      <x:c r="C78" s="5" t="str">
        <x:v>B01217</x:v>
      </x:c>
      <x:c r="D78" s="5" t="str">
        <x:v>受影响</x:v>
      </x:c>
      <x:c r="E78" s="5" t="str">
        <x:v>客户现场</x:v>
      </x:c>
      <x:c r="F78" s="5" t="str">
        <x:v>C1217</x:v>
      </x:c>
      <x:c r="G78" s="5" t="str">
        <x:v>D01</x:v>
      </x:c>
      <x:c r="H78" s="5" t="str">
        <x:v>C1217</x:v>
      </x:c>
      <x:c r="I78" s="5" t="str">
        <x:v>暂停使用并安排免费换板</x:v>
      </x:c>
      <x:c r="J78" s="5" t="str">
        <x:v>ME000651,LG000434</x:v>
      </x:c>
    </x:row>
    <x:row r="79" ht="52" customHeight="1">
      <x:c r="A79" s="5" t="str">
        <x:v>U1416</x:v>
      </x:c>
      <x:c r="B79" s="5" t="str">
        <x:v>YZ26-001416</x:v>
      </x:c>
      <x:c r="C79" s="5" t="str">
        <x:v>B01416</x:v>
      </x:c>
      <x:c r="D79" s="5" t="str">
        <x:v>不适用</x:v>
      </x:c>
      <x:c r="E79" s="5" t="str">
        <x:v>客户现场</x:v>
      </x:c>
      <x:c r="F79" s="5" t="str">
        <x:v>C1416</x:v>
      </x:c>
      <x:c r="G79" s="5" t="str">
        <x:v>D02</x:v>
      </x:c>
      <x:c r="H79" s="5" t="str">
        <x:v>C1416</x:v>
      </x:c>
      <x:c r="I79" s="5" t="str">
        <x:v>无需本次换修</x:v>
      </x:c>
      <x:c r="J79" s="5" t="str">
        <x:v>ME000660,LG000440,QC00501</x:v>
      </x:c>
    </x:row>
    <x:row r="80" ht="52" customHeight="1">
      <x:c r="A80" s="5" t="str">
        <x:v>U1451</x:v>
      </x:c>
      <x:c r="B80" s="5" t="str">
        <x:v>YZ26-001451</x:v>
      </x:c>
      <x:c r="C80" s="5" t="str">
        <x:v>RB01451</x:v>
      </x:c>
      <x:c r="D80" s="5" t="str">
        <x:v>已整改</x:v>
      </x:c>
      <x:c r="E80" s="5" t="str">
        <x:v>客户现场</x:v>
      </x:c>
      <x:c r="F80" s="5" t="str">
        <x:v>C1451</x:v>
      </x:c>
      <x:c r="G80" s="5" t="str">
        <x:v>D03</x:v>
      </x:c>
      <x:c r="H80" s="5" t="str">
        <x:v>C1451</x:v>
      </x:c>
      <x:c r="I80" s="5" t="str">
        <x:v>设备结案；拆出件单独追踪</x:v>
      </x:c>
      <x:c r="J80" s="5" t="str">
        <x:v>ME004373,ME004374,LG000446,QC00502</x:v>
      </x:c>
    </x:row>
    <x:row r="81" ht="52" customHeight="1">
      <x:c r="A81" s="5" t="str">
        <x:v>U1322</x:v>
      </x:c>
      <x:c r="B81" s="5" t="str">
        <x:v>YZ26-001322</x:v>
      </x:c>
      <x:c r="C81" s="5" t="str">
        <x:v>B01322</x:v>
      </x:c>
      <x:c r="D81" s="5" t="str">
        <x:v>受影响</x:v>
      </x:c>
      <x:c r="E81" s="5" t="str">
        <x:v>客户现场</x:v>
      </x:c>
      <x:c r="F81" s="5" t="str">
        <x:v>C1322</x:v>
      </x:c>
      <x:c r="G81" s="5" t="str">
        <x:v>D04</x:v>
      </x:c>
      <x:c r="H81" s="5" t="str">
        <x:v>C1322</x:v>
      </x:c>
      <x:c r="I81" s="5" t="str">
        <x:v>暂停使用并安排免费换板</x:v>
      </x:c>
      <x:c r="J81" s="5" t="str">
        <x:v>ME004375,ME004376,ME004377,ME004378,LG000452</x:v>
      </x:c>
    </x:row>
    <x:row r="82" ht="52" customHeight="1">
      <x:c r="A82" s="5" t="str">
        <x:v>U1302</x:v>
      </x:c>
      <x:c r="B82" s="5" t="str">
        <x:v>YZ26-001302</x:v>
      </x:c>
      <x:c r="C82" s="5" t="str">
        <x:v>B01302</x:v>
      </x:c>
      <x:c r="D82" s="5" t="str">
        <x:v>受影响</x:v>
      </x:c>
      <x:c r="E82" s="5" t="str">
        <x:v>客户现场</x:v>
      </x:c>
      <x:c r="F82" s="5" t="str">
        <x:v>C1302</x:v>
      </x:c>
      <x:c r="G82" s="5" t="str">
        <x:v>D05</x:v>
      </x:c>
      <x:c r="H82" s="5" t="str">
        <x:v>C1302</x:v>
      </x:c>
      <x:c r="I82" s="5" t="str">
        <x:v>暂停使用并安排免费换板</x:v>
      </x:c>
      <x:c r="J82" s="5" t="str">
        <x:v>ME000687,LG000458</x:v>
      </x:c>
    </x:row>
    <x:row r="83" ht="52" customHeight="1">
      <x:c r="A83" s="5" t="str">
        <x:v>U1038</x:v>
      </x:c>
      <x:c r="B83" s="5" t="str">
        <x:v>YZ26-001038</x:v>
      </x:c>
      <x:c r="C83" s="5" t="str">
        <x:v>B01038</x:v>
      </x:c>
      <x:c r="D83" s="5" t="str">
        <x:v>不适用</x:v>
      </x:c>
      <x:c r="E83" s="5" t="str">
        <x:v>客户现场</x:v>
      </x:c>
      <x:c r="F83" s="5" t="str">
        <x:v>C1358</x:v>
      </x:c>
      <x:c r="G83" s="5" t="str">
        <x:v>D03</x:v>
      </x:c>
      <x:c r="H83" s="5" t="str">
        <x:v>C1358</x:v>
      </x:c>
      <x:c r="I83" s="5" t="str">
        <x:v>无需本次换修</x:v>
      </x:c>
      <x:c r="J83" s="5" t="str">
        <x:v>ME000696,LG000464</x:v>
      </x:c>
    </x:row>
    <x:row r="84" ht="52" customHeight="1">
      <x:c r="A84" s="5" t="str">
        <x:v>U1385</x:v>
      </x:c>
      <x:c r="B84" s="5" t="str">
        <x:v>YZ26-001385</x:v>
      </x:c>
      <x:c r="C84" s="5" t="str">
        <x:v>B01385</x:v>
      </x:c>
      <x:c r="D84" s="5" t="str">
        <x:v>受影响</x:v>
      </x:c>
      <x:c r="E84" s="5" t="str">
        <x:v>客户现场</x:v>
      </x:c>
      <x:c r="F84" s="5" t="str">
        <x:v>C1385</x:v>
      </x:c>
      <x:c r="G84" s="5" t="str">
        <x:v>D01</x:v>
      </x:c>
      <x:c r="H84" s="5" t="str">
        <x:v>C1385</x:v>
      </x:c>
      <x:c r="I84" s="5" t="str">
        <x:v>暂停使用并安排免费换板</x:v>
      </x:c>
      <x:c r="J84" s="5" t="str">
        <x:v>ME000705,LG000470</x:v>
      </x:c>
    </x:row>
    <x:row r="85" ht="52" customHeight="1">
      <x:c r="A85" s="5" t="str">
        <x:v>U1463</x:v>
      </x:c>
      <x:c r="B85" s="5" t="str">
        <x:v>YZ26-001463</x:v>
      </x:c>
      <x:c r="C85" s="5" t="str">
        <x:v>B01463</x:v>
      </x:c>
      <x:c r="D85" s="5" t="str">
        <x:v>受影响</x:v>
      </x:c>
      <x:c r="E85" s="5" t="str">
        <x:v>客户现场</x:v>
      </x:c>
      <x:c r="F85" s="5" t="str">
        <x:v>C1463</x:v>
      </x:c>
      <x:c r="G85" s="5" t="str">
        <x:v>D02</x:v>
      </x:c>
      <x:c r="H85" s="5" t="str">
        <x:v>C1463</x:v>
      </x:c>
      <x:c r="I85" s="5" t="str">
        <x:v>暂停使用并安排免费换板</x:v>
      </x:c>
      <x:c r="J85" s="5" t="str">
        <x:v>ME000714,LG000476</x:v>
      </x:c>
    </x:row>
    <x:row r="86" ht="52" customHeight="1">
      <x:c r="A86" s="5" t="str">
        <x:v>U1084</x:v>
      </x:c>
      <x:c r="B86" s="5" t="str">
        <x:v>YZ26-001084</x:v>
      </x:c>
      <x:c r="C86" s="5" t="str">
        <x:v>B01084</x:v>
      </x:c>
      <x:c r="D86" s="5" t="str">
        <x:v>受影响</x:v>
      </x:c>
      <x:c r="E86" s="5" t="str">
        <x:v>客户现场</x:v>
      </x:c>
      <x:c r="F86" s="5" t="str">
        <x:v>C1084</x:v>
      </x:c>
      <x:c r="G86" s="5" t="str">
        <x:v>D03</x:v>
      </x:c>
      <x:c r="H86" s="5" t="str">
        <x:v>C1084</x:v>
      </x:c>
      <x:c r="I86" s="5" t="str">
        <x:v>暂停使用并安排免费换板</x:v>
      </x:c>
      <x:c r="J86" s="5" t="str">
        <x:v>ME000723,LG000482</x:v>
      </x:c>
    </x:row>
    <x:row r="87" ht="52" customHeight="1">
      <x:c r="A87" s="5" t="str">
        <x:v>U1363</x:v>
      </x:c>
      <x:c r="B87" s="5" t="str">
        <x:v>YZ26-001363</x:v>
      </x:c>
      <x:c r="C87" s="5" t="str">
        <x:v>RB01363</x:v>
      </x:c>
      <x:c r="D87" s="5" t="str">
        <x:v>已整改</x:v>
      </x:c>
      <x:c r="E87" s="5" t="str">
        <x:v>客户现场</x:v>
      </x:c>
      <x:c r="F87" s="5" t="str">
        <x:v>C1363</x:v>
      </x:c>
      <x:c r="G87" s="5" t="str">
        <x:v>D04</x:v>
      </x:c>
      <x:c r="H87" s="5" t="str">
        <x:v>C1363</x:v>
      </x:c>
      <x:c r="I87" s="5" t="str">
        <x:v>设备结案；拆出件单独追踪</x:v>
      </x:c>
      <x:c r="J87" s="5" t="str">
        <x:v>ME004381,ME004382,LG000488,QC00504</x:v>
      </x:c>
    </x:row>
    <x:row r="88" ht="52" customHeight="1">
      <x:c r="A88" s="5" t="str">
        <x:v>U1088</x:v>
      </x:c>
      <x:c r="B88" s="5" t="str">
        <x:v>YZ26-001088</x:v>
      </x:c>
      <x:c r="C88" s="5" t="str">
        <x:v>B01088</x:v>
      </x:c>
      <x:c r="D88" s="5" t="str">
        <x:v>不适用</x:v>
      </x:c>
      <x:c r="E88" s="5" t="str">
        <x:v>客户现场</x:v>
      </x:c>
      <x:c r="F88" s="5" t="str">
        <x:v>C1088</x:v>
      </x:c>
      <x:c r="G88" s="5" t="str">
        <x:v>D05</x:v>
      </x:c>
      <x:c r="H88" s="5" t="str">
        <x:v>C1088</x:v>
      </x:c>
      <x:c r="I88" s="5" t="str">
        <x:v>无需本次换修</x:v>
      </x:c>
      <x:c r="J88" s="5" t="str">
        <x:v>ME000741,LG000494,QC00505</x:v>
      </x:c>
    </x:row>
    <x:row r="89" ht="52" customHeight="1">
      <x:c r="A89" s="5" t="str">
        <x:v>U1121</x:v>
      </x:c>
      <x:c r="B89" s="5" t="str">
        <x:v>YZ26-001121</x:v>
      </x:c>
      <x:c r="C89" s="5" t="str">
        <x:v>B01121</x:v>
      </x:c>
      <x:c r="D89" s="5" t="str">
        <x:v>受影响</x:v>
      </x:c>
      <x:c r="E89" s="5" t="str">
        <x:v>在途</x:v>
      </x:c>
      <x:c r="F89" s="5" t="str">
        <x:v>承运商→C1121</x:v>
      </x:c>
      <x:c r="G89" s="5" t="str">
        <x:v>D06</x:v>
      </x:c>
      <x:c r="H89" s="5" t="str">
        <x:v>C1121</x:v>
      </x:c>
      <x:c r="I89" s="5" t="str">
        <x:v>联系拦截；失败则收货后隔离</x:v>
      </x:c>
      <x:c r="J89" s="5" t="str">
        <x:v>ME000750,LG000499</x:v>
      </x:c>
    </x:row>
    <x:row r="90" ht="52" customHeight="1">
      <x:c r="A90" s="5" t="str">
        <x:v>U1048</x:v>
      </x:c>
      <x:c r="B90" s="5" t="str">
        <x:v>YZ26-001048</x:v>
      </x:c>
      <x:c r="C90" s="5" t="str">
        <x:v>B01048</x:v>
      </x:c>
      <x:c r="D90" s="5" t="str">
        <x:v>受影响</x:v>
      </x:c>
      <x:c r="E90" s="5" t="str">
        <x:v>客户现场</x:v>
      </x:c>
      <x:c r="F90" s="5" t="str">
        <x:v>C1048</x:v>
      </x:c>
      <x:c r="G90" s="5" t="str">
        <x:v>D01</x:v>
      </x:c>
      <x:c r="H90" s="5" t="str">
        <x:v>C1048</x:v>
      </x:c>
      <x:c r="I90" s="5" t="str">
        <x:v>暂停使用并安排免费换板</x:v>
      </x:c>
      <x:c r="J90" s="5" t="str">
        <x:v>ME000759,LG000505</x:v>
      </x:c>
    </x:row>
    <x:row r="91" ht="52" customHeight="1">
      <x:c r="A91" s="5" t="str">
        <x:v>U1035</x:v>
      </x:c>
      <x:c r="B91" s="5" t="str">
        <x:v>YZ26-001035</x:v>
      </x:c>
      <x:c r="C91" s="5" t="str">
        <x:v>B01035</x:v>
      </x:c>
      <x:c r="D91" s="5" t="str">
        <x:v>不适用</x:v>
      </x:c>
      <x:c r="E91" s="5" t="str">
        <x:v>客户现场</x:v>
      </x:c>
      <x:c r="F91" s="5" t="str">
        <x:v>C1217</x:v>
      </x:c>
      <x:c r="G91" s="5" t="str">
        <x:v>D01</x:v>
      </x:c>
      <x:c r="H91" s="5" t="str">
        <x:v>C1217</x:v>
      </x:c>
      <x:c r="I91" s="5" t="str">
        <x:v>无需本次换修</x:v>
      </x:c>
      <x:c r="J91" s="5" t="str">
        <x:v>ME000768,LG000511</x:v>
      </x:c>
    </x:row>
    <x:row r="92" ht="52" customHeight="1">
      <x:c r="A92" s="5" t="str">
        <x:v>U1268</x:v>
      </x:c>
      <x:c r="B92" s="5" t="str">
        <x:v>YZ26-001268</x:v>
      </x:c>
      <x:c r="C92" s="5" t="str">
        <x:v>B01268</x:v>
      </x:c>
      <x:c r="D92" s="5" t="str">
        <x:v>受影响</x:v>
      </x:c>
      <x:c r="E92" s="5" t="str">
        <x:v>客户现场</x:v>
      </x:c>
      <x:c r="F92" s="5" t="str">
        <x:v>C1268</x:v>
      </x:c>
      <x:c r="G92" s="5" t="str">
        <x:v>D03</x:v>
      </x:c>
      <x:c r="H92" s="5" t="str">
        <x:v>C1268</x:v>
      </x:c>
      <x:c r="I92" s="5" t="str">
        <x:v>暂停使用并安排免费换板</x:v>
      </x:c>
      <x:c r="J92" s="5" t="str">
        <x:v>ME000777,LG000517</x:v>
      </x:c>
    </x:row>
    <x:row r="93" ht="52" customHeight="1">
      <x:c r="A93" s="5" t="str">
        <x:v>U1233</x:v>
      </x:c>
      <x:c r="B93" s="5" t="str">
        <x:v>YZ26-001233</x:v>
      </x:c>
      <x:c r="C93" s="5" t="str">
        <x:v>B01233</x:v>
      </x:c>
      <x:c r="D93" s="5" t="str">
        <x:v>受影响</x:v>
      </x:c>
      <x:c r="E93" s="5" t="str">
        <x:v>客户现场</x:v>
      </x:c>
      <x:c r="F93" s="5" t="str">
        <x:v>C1233</x:v>
      </x:c>
      <x:c r="G93" s="5" t="str">
        <x:v>D04</x:v>
      </x:c>
      <x:c r="H93" s="5" t="str">
        <x:v>C1233</x:v>
      </x:c>
      <x:c r="I93" s="5" t="str">
        <x:v>暂停使用并安排免费换板</x:v>
      </x:c>
      <x:c r="J93" s="5" t="str">
        <x:v>ME000786,LG000523</x:v>
      </x:c>
    </x:row>
    <x:row r="94" ht="52" customHeight="1">
      <x:c r="A94" s="5" t="str">
        <x:v>U1369</x:v>
      </x:c>
      <x:c r="B94" s="5" t="str">
        <x:v>YZ26-001369</x:v>
      </x:c>
      <x:c r="C94" s="5" t="str">
        <x:v>RB01369</x:v>
      </x:c>
      <x:c r="D94" s="5" t="str">
        <x:v>已整改</x:v>
      </x:c>
      <x:c r="E94" s="5" t="str">
        <x:v>客户现场</x:v>
      </x:c>
      <x:c r="F94" s="5" t="str">
        <x:v>C1369</x:v>
      </x:c>
      <x:c r="G94" s="5" t="str">
        <x:v>D05</x:v>
      </x:c>
      <x:c r="H94" s="5" t="str">
        <x:v>C1369</x:v>
      </x:c>
      <x:c r="I94" s="5" t="str">
        <x:v>设备结案；拆出件单独追踪</x:v>
      </x:c>
      <x:c r="J94" s="5" t="str">
        <x:v>ME004383,ME004384,LG000529,QC00506</x:v>
      </x:c>
    </x:row>
    <x:row r="95" ht="52" customHeight="1">
      <x:c r="A95" s="5" t="str">
        <x:v>U1008</x:v>
      </x:c>
      <x:c r="B95" s="5" t="str">
        <x:v>YZ26-001008</x:v>
      </x:c>
      <x:c r="C95" s="5" t="str">
        <x:v>B01008</x:v>
      </x:c>
      <x:c r="D95" s="5" t="str">
        <x:v>受影响</x:v>
      </x:c>
      <x:c r="E95" s="5" t="str">
        <x:v>客户现场</x:v>
      </x:c>
      <x:c r="F95" s="5" t="str">
        <x:v>C1008</x:v>
      </x:c>
      <x:c r="G95" s="5" t="str">
        <x:v>D06</x:v>
      </x:c>
      <x:c r="H95" s="5" t="str">
        <x:v>C1008</x:v>
      </x:c>
      <x:c r="I95" s="5" t="str">
        <x:v>暂停使用并安排免费换板</x:v>
      </x:c>
      <x:c r="J95" s="5" t="str">
        <x:v>ME000804,LG000535,QC00507</x:v>
      </x:c>
    </x:row>
    <x:row r="96" ht="52" customHeight="1">
      <x:c r="A96" s="5" t="str">
        <x:v>U1441</x:v>
      </x:c>
      <x:c r="B96" s="5" t="str">
        <x:v>YZ26-001441</x:v>
      </x:c>
      <x:c r="C96" s="5" t="str">
        <x:v>B01441</x:v>
      </x:c>
      <x:c r="D96" s="5" t="str">
        <x:v>受影响</x:v>
      </x:c>
      <x:c r="E96" s="5" t="str">
        <x:v>渠道库存</x:v>
      </x:c>
      <x:c r="F96" s="5" t="str">
        <x:v>D01</x:v>
      </x:c>
      <x:c r="G96" s="5" t="str">
        <x:v>D01</x:v>
      </x:c>
      <x:c r="H96" s="5" t="str">
        <x:v>C1441</x:v>
      </x:c>
      <x:c r="I96" s="5" t="str">
        <x:v>隔离停售；安排免费换板</x:v>
      </x:c>
      <x:c r="J96" s="5" t="str">
        <x:v>ME000813,LG002917</x:v>
      </x:c>
    </x:row>
    <x:row r="97" ht="52" customHeight="1">
      <x:c r="A97" s="5" t="str">
        <x:v>U1381</x:v>
      </x:c>
      <x:c r="B97" s="5" t="str">
        <x:v>YZ26-001381</x:v>
      </x:c>
      <x:c r="C97" s="5" t="str">
        <x:v>RB01381</x:v>
      </x:c>
      <x:c r="D97" s="5" t="str">
        <x:v>已整改</x:v>
      </x:c>
      <x:c r="E97" s="5" t="str">
        <x:v>客户现场</x:v>
      </x:c>
      <x:c r="F97" s="5" t="str">
        <x:v>C1381</x:v>
      </x:c>
      <x:c r="G97" s="5" t="str">
        <x:v>D02</x:v>
      </x:c>
      <x:c r="H97" s="5" t="str">
        <x:v>C1381</x:v>
      </x:c>
      <x:c r="I97" s="5" t="str">
        <x:v>设备结案；拆出件单独追踪</x:v>
      </x:c>
      <x:c r="J97" s="5" t="str">
        <x:v>ME004385,ME004386,LG000547,QC00508</x:v>
      </x:c>
    </x:row>
    <x:row r="98" ht="52" customHeight="1">
      <x:c r="A98" s="5" t="str">
        <x:v>U1412</x:v>
      </x:c>
      <x:c r="B98" s="5" t="str">
        <x:v>YZ26-001412</x:v>
      </x:c>
      <x:c r="C98" s="5" t="str">
        <x:v>RB01412</x:v>
      </x:c>
      <x:c r="D98" s="5" t="str">
        <x:v>已整改</x:v>
      </x:c>
      <x:c r="E98" s="5" t="str">
        <x:v>客户现场</x:v>
      </x:c>
      <x:c r="F98" s="5" t="str">
        <x:v>C1412</x:v>
      </x:c>
      <x:c r="G98" s="5" t="str">
        <x:v>D03</x:v>
      </x:c>
      <x:c r="H98" s="5" t="str">
        <x:v>C1412</x:v>
      </x:c>
      <x:c r="I98" s="5" t="str">
        <x:v>设备结案；拆出件单独追踪</x:v>
      </x:c>
      <x:c r="J98" s="5" t="str">
        <x:v>ME004387,ME004388,LG000553,QC00509</x:v>
      </x:c>
    </x:row>
    <x:row r="99" ht="52" customHeight="1">
      <x:c r="A99" s="5" t="str">
        <x:v>U1392</x:v>
      </x:c>
      <x:c r="B99" s="5" t="str">
        <x:v>YZ26-001392</x:v>
      </x:c>
      <x:c r="C99" s="5" t="str">
        <x:v>B01392</x:v>
      </x:c>
      <x:c r="D99" s="5" t="str">
        <x:v>不适用</x:v>
      </x:c>
      <x:c r="E99" s="5" t="str">
        <x:v>客户现场</x:v>
      </x:c>
      <x:c r="F99" s="5" t="str">
        <x:v>C1392</x:v>
      </x:c>
      <x:c r="G99" s="5" t="str">
        <x:v>D04</x:v>
      </x:c>
      <x:c r="H99" s="5" t="str">
        <x:v>C1392</x:v>
      </x:c>
      <x:c r="I99" s="5" t="str">
        <x:v>无需本次换修</x:v>
      </x:c>
      <x:c r="J99" s="5" t="str">
        <x:v>ME000840,LG000559,QC00510</x:v>
      </x:c>
    </x:row>
    <x:row r="100" ht="52" customHeight="1">
      <x:c r="A100" s="5" t="str">
        <x:v>U1011</x:v>
      </x:c>
      <x:c r="B100" s="5" t="str">
        <x:v>YZ26-001011</x:v>
      </x:c>
      <x:c r="C100" s="5" t="str">
        <x:v>RB01011</x:v>
      </x:c>
      <x:c r="D100" s="5" t="str">
        <x:v>已整改</x:v>
      </x:c>
      <x:c r="E100" s="5" t="str">
        <x:v>客户现场</x:v>
      </x:c>
      <x:c r="F100" s="5" t="str">
        <x:v>C1011</x:v>
      </x:c>
      <x:c r="G100" s="5" t="str">
        <x:v>D05</x:v>
      </x:c>
      <x:c r="H100" s="5" t="str">
        <x:v>C1011</x:v>
      </x:c>
      <x:c r="I100" s="5" t="str">
        <x:v>设备结案；拆出件单独追踪</x:v>
      </x:c>
      <x:c r="J100" s="5" t="str">
        <x:v>ME004389,ME004390,LG000565,QC00511</x:v>
      </x:c>
    </x:row>
    <x:row r="101" ht="52" customHeight="1">
      <x:c r="A101" s="5" t="str">
        <x:v>U1130</x:v>
      </x:c>
      <x:c r="B101" s="5" t="str">
        <x:v>YZ26-001130</x:v>
      </x:c>
      <x:c r="C101" s="5" t="str">
        <x:v>B01130</x:v>
      </x:c>
      <x:c r="D101" s="5" t="str">
        <x:v>不适用</x:v>
      </x:c>
      <x:c r="E101" s="5" t="str">
        <x:v>客户现场</x:v>
      </x:c>
      <x:c r="F101" s="5" t="str">
        <x:v>C1130</x:v>
      </x:c>
      <x:c r="G101" s="5" t="str">
        <x:v>D06</x:v>
      </x:c>
      <x:c r="H101" s="5" t="str">
        <x:v>C1130</x:v>
      </x:c>
      <x:c r="I101" s="5" t="str">
        <x:v>无需本次换修</x:v>
      </x:c>
      <x:c r="J101" s="5" t="str">
        <x:v>ME000858,LG000571</x:v>
      </x:c>
    </x:row>
    <x:row r="102" ht="52" customHeight="1">
      <x:c r="A102" s="5" t="str">
        <x:v>U1027</x:v>
      </x:c>
      <x:c r="B102" s="5" t="str">
        <x:v>YZ26-001027</x:v>
      </x:c>
      <x:c r="C102" s="5" t="str">
        <x:v>RB01027</x:v>
      </x:c>
      <x:c r="D102" s="5" t="str">
        <x:v>已整改</x:v>
      </x:c>
      <x:c r="E102" s="5" t="str">
        <x:v>客户现场</x:v>
      </x:c>
      <x:c r="F102" s="5" t="str">
        <x:v>C1027</x:v>
      </x:c>
      <x:c r="G102" s="5" t="str">
        <x:v>D01</x:v>
      </x:c>
      <x:c r="H102" s="5" t="str">
        <x:v>C1027</x:v>
      </x:c>
      <x:c r="I102" s="5" t="str">
        <x:v>设备结案；拆出件单独追踪</x:v>
      </x:c>
      <x:c r="J102" s="5" t="str">
        <x:v>ME004391,ME004392,LG000577,QC00512</x:v>
      </x:c>
    </x:row>
    <x:row r="103" ht="52" customHeight="1">
      <x:c r="A103" s="5" t="str">
        <x:v>U1244</x:v>
      </x:c>
      <x:c r="B103" s="5" t="str">
        <x:v>YZ26-001244</x:v>
      </x:c>
      <x:c r="C103" s="5" t="str">
        <x:v>RB01244</x:v>
      </x:c>
      <x:c r="D103" s="5" t="str">
        <x:v>已整改</x:v>
      </x:c>
      <x:c r="E103" s="5" t="str">
        <x:v>客户现场</x:v>
      </x:c>
      <x:c r="F103" s="5" t="str">
        <x:v>C1244</x:v>
      </x:c>
      <x:c r="G103" s="5" t="str">
        <x:v>D02</x:v>
      </x:c>
      <x:c r="H103" s="5" t="str">
        <x:v>C1244</x:v>
      </x:c>
      <x:c r="I103" s="5" t="str">
        <x:v>设备结案；拆出件单独追踪</x:v>
      </x:c>
      <x:c r="J103" s="5" t="str">
        <x:v>ME004393,ME004394,LG000583,QC00513</x:v>
      </x:c>
    </x:row>
    <x:row r="104" ht="52" customHeight="1">
      <x:c r="A104" s="5" t="str">
        <x:v>U1301</x:v>
      </x:c>
      <x:c r="B104" s="5" t="str">
        <x:v>YZ26-001301R</x:v>
      </x:c>
      <x:c r="C104" s="5" t="str">
        <x:v>B01301</x:v>
      </x:c>
      <x:c r="D104" s="5" t="str">
        <x:v>受影响</x:v>
      </x:c>
      <x:c r="E104" s="5" t="str">
        <x:v>客户现场</x:v>
      </x:c>
      <x:c r="F104" s="5" t="str">
        <x:v>C1301</x:v>
      </x:c>
      <x:c r="G104" s="5" t="str">
        <x:v>D03</x:v>
      </x:c>
      <x:c r="H104" s="5" t="str">
        <x:v>C1301</x:v>
      </x:c>
      <x:c r="I104" s="5" t="str">
        <x:v>暂停使用并安排免费换板</x:v>
      </x:c>
      <x:c r="J104" s="5" t="str">
        <x:v>ME000885,LG000589,LB-U1301</x:v>
      </x:c>
    </x:row>
    <x:row r="105" ht="52" customHeight="1">
      <x:c r="A105" s="5" t="str">
        <x:v>U1066</x:v>
      </x:c>
      <x:c r="B105" s="5" t="str">
        <x:v>YZ26-001066</x:v>
      </x:c>
      <x:c r="C105" s="5" t="str">
        <x:v>B01148</x:v>
      </x:c>
      <x:c r="D105" s="5" t="str">
        <x:v>受影响</x:v>
      </x:c>
      <x:c r="E105" s="5" t="str">
        <x:v>客户现场</x:v>
      </x:c>
      <x:c r="F105" s="5" t="str">
        <x:v>C1066</x:v>
      </x:c>
      <x:c r="G105" s="5" t="str">
        <x:v>D04</x:v>
      </x:c>
      <x:c r="H105" s="5" t="str">
        <x:v>C1066</x:v>
      </x:c>
      <x:c r="I105" s="5" t="str">
        <x:v>暂停使用并安排免费换板</x:v>
      </x:c>
      <x:c r="J105" s="5" t="str">
        <x:v>ME004405,ME004406,LG000595</x:v>
      </x:c>
    </x:row>
    <x:row r="106" ht="52" customHeight="1">
      <x:c r="A106" s="5" t="str">
        <x:v>U1443</x:v>
      </x:c>
      <x:c r="B106" s="5" t="str">
        <x:v>YZ26-001443</x:v>
      </x:c>
      <x:c r="C106" s="5" t="str">
        <x:v>B01443</x:v>
      </x:c>
      <x:c r="D106" s="5" t="str">
        <x:v>不适用</x:v>
      </x:c>
      <x:c r="E106" s="5" t="str">
        <x:v>客户现场</x:v>
      </x:c>
      <x:c r="F106" s="5" t="str">
        <x:v>C1443</x:v>
      </x:c>
      <x:c r="G106" s="5" t="str">
        <x:v>D05</x:v>
      </x:c>
      <x:c r="H106" s="5" t="str">
        <x:v>C1443</x:v>
      </x:c>
      <x:c r="I106" s="5" t="str">
        <x:v>无需本次换修</x:v>
      </x:c>
      <x:c r="J106" s="5" t="str">
        <x:v>ME000903,LG000601</x:v>
      </x:c>
    </x:row>
    <x:row r="107" ht="52" customHeight="1">
      <x:c r="A107" s="5" t="str">
        <x:v>U1262</x:v>
      </x:c>
      <x:c r="B107" s="5" t="str">
        <x:v>YZ26-001262</x:v>
      </x:c>
      <x:c r="C107" s="5" t="str">
        <x:v>B01262</x:v>
      </x:c>
      <x:c r="D107" s="5" t="str">
        <x:v>不适用</x:v>
      </x:c>
      <x:c r="E107" s="5" t="str">
        <x:v>客户现场</x:v>
      </x:c>
      <x:c r="F107" s="5" t="str">
        <x:v>C1262</x:v>
      </x:c>
      <x:c r="G107" s="5" t="str">
        <x:v>D06</x:v>
      </x:c>
      <x:c r="H107" s="5" t="str">
        <x:v>C1262</x:v>
      </x:c>
      <x:c r="I107" s="5" t="str">
        <x:v>无需本次换修</x:v>
      </x:c>
      <x:c r="J107" s="5" t="str">
        <x:v>ME000912,LG000607</x:v>
      </x:c>
    </x:row>
    <x:row r="108" ht="52" customHeight="1">
      <x:c r="A108" s="5" t="str">
        <x:v>U1337</x:v>
      </x:c>
      <x:c r="B108" s="5" t="str">
        <x:v>YZ26-001337</x:v>
      </x:c>
      <x:c r="C108" s="5" t="str">
        <x:v>RB01337</x:v>
      </x:c>
      <x:c r="D108" s="5" t="str">
        <x:v>已整改</x:v>
      </x:c>
      <x:c r="E108" s="5" t="str">
        <x:v>客户现场</x:v>
      </x:c>
      <x:c r="F108" s="5" t="str">
        <x:v>C1337</x:v>
      </x:c>
      <x:c r="G108" s="5" t="str">
        <x:v>D01</x:v>
      </x:c>
      <x:c r="H108" s="5" t="str">
        <x:v>C1337</x:v>
      </x:c>
      <x:c r="I108" s="5" t="str">
        <x:v>设备结案；拆出件单独追踪</x:v>
      </x:c>
      <x:c r="J108" s="5" t="str">
        <x:v>ME004395,ME004396,LG000613,QC00514</x:v>
      </x:c>
    </x:row>
    <x:row r="109" ht="52" customHeight="1">
      <x:c r="A109" s="5" t="str">
        <x:v>U1101</x:v>
      </x:c>
      <x:c r="B109" s="5" t="str">
        <x:v>YZ26-001101</x:v>
      </x:c>
      <x:c r="C109" s="5" t="str">
        <x:v>B01101</x:v>
      </x:c>
      <x:c r="D109" s="5" t="str">
        <x:v>受影响</x:v>
      </x:c>
      <x:c r="E109" s="5" t="str">
        <x:v>客户现场</x:v>
      </x:c>
      <x:c r="F109" s="5" t="str">
        <x:v>C1101</x:v>
      </x:c>
      <x:c r="G109" s="5" t="str">
        <x:v>D02</x:v>
      </x:c>
      <x:c r="H109" s="5" t="str">
        <x:v>C1101</x:v>
      </x:c>
      <x:c r="I109" s="5" t="str">
        <x:v>暂停使用并安排免费换板</x:v>
      </x:c>
      <x:c r="J109" s="5" t="str">
        <x:v>ME000930,LG000619</x:v>
      </x:c>
    </x:row>
    <x:row r="110" ht="52" customHeight="1">
      <x:c r="A110" s="5" t="str">
        <x:v>U1112</x:v>
      </x:c>
      <x:c r="B110" s="5" t="str">
        <x:v>YZ26-001112</x:v>
      </x:c>
      <x:c r="C110" s="5" t="str">
        <x:v>B01112</x:v>
      </x:c>
      <x:c r="D110" s="5" t="str">
        <x:v>受影响</x:v>
      </x:c>
      <x:c r="E110" s="5" t="str">
        <x:v>去向待核实</x:v>
      </x:c>
      <x:c r="F110" s="5" t="str">
        <x:v>待核实</x:v>
      </x:c>
      <x:c r="G110" s="5" t="str">
        <x:v>D03</x:v>
      </x:c>
      <x:c r="H110" s="5" t="str">
        <x:v>C1112</x:v>
      </x:c>
      <x:c r="I110" s="5" t="str">
        <x:v>追踪实物；确认前不得结案</x:v>
      </x:c>
      <x:c r="J110" s="5" t="str">
        <x:v>ME000939,LG002919</x:v>
      </x:c>
    </x:row>
    <x:row r="111" ht="52" customHeight="1">
      <x:c r="A111" s="5" t="str">
        <x:v>U1419</x:v>
      </x:c>
      <x:c r="B111" s="5" t="str">
        <x:v>YZ26-001419R</x:v>
      </x:c>
      <x:c r="C111" s="5" t="str">
        <x:v>B01419</x:v>
      </x:c>
      <x:c r="D111" s="5" t="str">
        <x:v>受影响</x:v>
      </x:c>
      <x:c r="E111" s="5" t="str">
        <x:v>客户现场</x:v>
      </x:c>
      <x:c r="F111" s="5" t="str">
        <x:v>C1419</x:v>
      </x:c>
      <x:c r="G111" s="5" t="str">
        <x:v>D04</x:v>
      </x:c>
      <x:c r="H111" s="5" t="str">
        <x:v>C1419</x:v>
      </x:c>
      <x:c r="I111" s="5" t="str">
        <x:v>暂停使用并安排免费换板</x:v>
      </x:c>
      <x:c r="J111" s="5" t="str">
        <x:v>ME000948,LG000631,LB-U1419</x:v>
      </x:c>
    </x:row>
    <x:row r="112" ht="52" customHeight="1">
      <x:c r="A112" s="5" t="str">
        <x:v>U1067</x:v>
      </x:c>
      <x:c r="B112" s="5" t="str">
        <x:v>YZ26-001067</x:v>
      </x:c>
      <x:c r="C112" s="5" t="str">
        <x:v>B01067</x:v>
      </x:c>
      <x:c r="D112" s="5" t="str">
        <x:v>不适用</x:v>
      </x:c>
      <x:c r="E112" s="5" t="str">
        <x:v>客户现场</x:v>
      </x:c>
      <x:c r="F112" s="5" t="str">
        <x:v>C1122</x:v>
      </x:c>
      <x:c r="G112" s="5" t="str">
        <x:v>D04</x:v>
      </x:c>
      <x:c r="H112" s="5" t="str">
        <x:v>C1122</x:v>
      </x:c>
      <x:c r="I112" s="5" t="str">
        <x:v>无需本次换修</x:v>
      </x:c>
      <x:c r="J112" s="5" t="str">
        <x:v>ME000957,LG000637</x:v>
      </x:c>
    </x:row>
    <x:row r="113" ht="52" customHeight="1">
      <x:c r="A113" s="5" t="str">
        <x:v>U1194</x:v>
      </x:c>
      <x:c r="B113" s="5" t="str">
        <x:v>YZ26-001194</x:v>
      </x:c>
      <x:c r="C113" s="5" t="str">
        <x:v>B01194</x:v>
      </x:c>
      <x:c r="D113" s="5" t="str">
        <x:v>受影响</x:v>
      </x:c>
      <x:c r="E113" s="5" t="str">
        <x:v>客户现场</x:v>
      </x:c>
      <x:c r="F113" s="5" t="str">
        <x:v>C1194</x:v>
      </x:c>
      <x:c r="G113" s="5" t="str">
        <x:v>D06</x:v>
      </x:c>
      <x:c r="H113" s="5" t="str">
        <x:v>C1194</x:v>
      </x:c>
      <x:c r="I113" s="5" t="str">
        <x:v>暂停使用并安排免费换板</x:v>
      </x:c>
      <x:c r="J113" s="5" t="str">
        <x:v>ME000966,LG000643</x:v>
      </x:c>
    </x:row>
    <x:row r="114" ht="52" customHeight="1">
      <x:c r="A114" s="5" t="str">
        <x:v>U1171</x:v>
      </x:c>
      <x:c r="B114" s="5" t="str">
        <x:v>YZ26-001171</x:v>
      </x:c>
      <x:c r="C114" s="5" t="str">
        <x:v>B01171</x:v>
      </x:c>
      <x:c r="D114" s="5" t="str">
        <x:v>受影响</x:v>
      </x:c>
      <x:c r="E114" s="5" t="str">
        <x:v>客户现场</x:v>
      </x:c>
      <x:c r="F114" s="5" t="str">
        <x:v>C1171</x:v>
      </x:c>
      <x:c r="G114" s="5" t="str">
        <x:v>D01</x:v>
      </x:c>
      <x:c r="H114" s="5" t="str">
        <x:v>C1171</x:v>
      </x:c>
      <x:c r="I114" s="5" t="str">
        <x:v>暂停使用并安排免费换板</x:v>
      </x:c>
      <x:c r="J114" s="5" t="str">
        <x:v>ME000975,LG000649</x:v>
      </x:c>
    </x:row>
    <x:row r="115" ht="52" customHeight="1">
      <x:c r="A115" s="5" t="str">
        <x:v>U1138</x:v>
      </x:c>
      <x:c r="B115" s="5" t="str">
        <x:v>YZ26-001138</x:v>
      </x:c>
      <x:c r="C115" s="5" t="str">
        <x:v>B01138</x:v>
      </x:c>
      <x:c r="D115" s="5" t="str">
        <x:v>受影响</x:v>
      </x:c>
      <x:c r="E115" s="5" t="str">
        <x:v>客户现场</x:v>
      </x:c>
      <x:c r="F115" s="5" t="str">
        <x:v>C1138</x:v>
      </x:c>
      <x:c r="G115" s="5" t="str">
        <x:v>D02</x:v>
      </x:c>
      <x:c r="H115" s="5" t="str">
        <x:v>C1138</x:v>
      </x:c>
      <x:c r="I115" s="5" t="str">
        <x:v>暂停使用并安排免费换板</x:v>
      </x:c>
      <x:c r="J115" s="5" t="str">
        <x:v>ME000984,LG000655</x:v>
      </x:c>
    </x:row>
    <x:row r="116" ht="52" customHeight="1">
      <x:c r="A116" s="5" t="str">
        <x:v>U1051</x:v>
      </x:c>
      <x:c r="B116" s="5" t="str">
        <x:v>YZ26-001051</x:v>
      </x:c>
      <x:c r="C116" s="5" t="str">
        <x:v>B01051</x:v>
      </x:c>
      <x:c r="D116" s="5" t="str">
        <x:v>受影响</x:v>
      </x:c>
      <x:c r="E116" s="5" t="str">
        <x:v>去向待核实</x:v>
      </x:c>
      <x:c r="F116" s="5" t="str">
        <x:v>待核实</x:v>
      </x:c>
      <x:c r="G116" s="5" t="str">
        <x:v>D03</x:v>
      </x:c>
      <x:c r="H116" s="5" t="str">
        <x:v>C1051</x:v>
      </x:c>
      <x:c r="I116" s="5" t="str">
        <x:v>追踪实物；确认前不得结案</x:v>
      </x:c>
      <x:c r="J116" s="5" t="str">
        <x:v>ME000993,LG002923</x:v>
      </x:c>
    </x:row>
    <x:row r="117" ht="52" customHeight="1">
      <x:c r="A117" s="5" t="str">
        <x:v>U1186</x:v>
      </x:c>
      <x:c r="B117" s="5" t="str">
        <x:v>YZ26-001186</x:v>
      </x:c>
      <x:c r="C117" s="5" t="str">
        <x:v>B01369</x:v>
      </x:c>
      <x:c r="D117" s="5" t="str">
        <x:v>受影响</x:v>
      </x:c>
      <x:c r="E117" s="5" t="str">
        <x:v>客户现场</x:v>
      </x:c>
      <x:c r="F117" s="5" t="str">
        <x:v>C1186</x:v>
      </x:c>
      <x:c r="G117" s="5" t="str">
        <x:v>D04</x:v>
      </x:c>
      <x:c r="H117" s="5" t="str">
        <x:v>C1186</x:v>
      </x:c>
      <x:c r="I117" s="5" t="str">
        <x:v>暂停使用并安排免费换板</x:v>
      </x:c>
      <x:c r="J117" s="5" t="str">
        <x:v>ME004407,ME004408,LG000667</x:v>
      </x:c>
    </x:row>
    <x:row r="118" ht="52" customHeight="1">
      <x:c r="A118" s="5" t="str">
        <x:v>U1417</x:v>
      </x:c>
      <x:c r="B118" s="5" t="str">
        <x:v>YZ26-001417</x:v>
      </x:c>
      <x:c r="C118" s="5" t="str">
        <x:v>B01417</x:v>
      </x:c>
      <x:c r="D118" s="5" t="str">
        <x:v>受影响</x:v>
      </x:c>
      <x:c r="E118" s="5" t="str">
        <x:v>去向待核实</x:v>
      </x:c>
      <x:c r="F118" s="5" t="str">
        <x:v>待核实</x:v>
      </x:c>
      <x:c r="G118" s="5" t="str">
        <x:v>D05</x:v>
      </x:c>
      <x:c r="H118" s="5" t="str">
        <x:v>C1417</x:v>
      </x:c>
      <x:c r="I118" s="5" t="str">
        <x:v>追踪实物；确认前不得结案</x:v>
      </x:c>
      <x:c r="J118" s="5" t="str">
        <x:v>ME001011,LG002925</x:v>
      </x:c>
    </x:row>
    <x:row r="119" ht="52" customHeight="1">
      <x:c r="A119" s="5" t="str">
        <x:v>U1203</x:v>
      </x:c>
      <x:c r="B119" s="5" t="str">
        <x:v>YZ26-001203</x:v>
      </x:c>
      <x:c r="C119" s="5" t="str">
        <x:v>B01203</x:v>
      </x:c>
      <x:c r="D119" s="5" t="str">
        <x:v>受影响</x:v>
      </x:c>
      <x:c r="E119" s="5" t="str">
        <x:v>客户现场</x:v>
      </x:c>
      <x:c r="F119" s="5" t="str">
        <x:v>C1203</x:v>
      </x:c>
      <x:c r="G119" s="5" t="str">
        <x:v>D06</x:v>
      </x:c>
      <x:c r="H119" s="5" t="str">
        <x:v>C1203</x:v>
      </x:c>
      <x:c r="I119" s="5" t="str">
        <x:v>暂停使用并安排免费换板</x:v>
      </x:c>
      <x:c r="J119" s="5" t="str">
        <x:v>ME001020,LG000679</x:v>
      </x:c>
    </x:row>
    <x:row r="120" ht="52" customHeight="1">
      <x:c r="A120" s="5" t="str">
        <x:v>U1434</x:v>
      </x:c>
      <x:c r="B120" s="5" t="str">
        <x:v>YZ26-001434</x:v>
      </x:c>
      <x:c r="C120" s="5" t="str">
        <x:v>未登记</x:v>
      </x:c>
      <x:c r="D120" s="5" t="str">
        <x:v>待核实</x:v>
      </x:c>
      <x:c r="E120" s="5" t="str">
        <x:v>客户现场</x:v>
      </x:c>
      <x:c r="F120" s="5" t="str">
        <x:v>C1434</x:v>
      </x:c>
      <x:c r="G120" s="5" t="str">
        <x:v>D01</x:v>
      </x:c>
      <x:c r="H120" s="5" t="str">
        <x:v>C1434</x:v>
      </x:c>
      <x:c r="I120" s="5" t="str">
        <x:v>补板件身份；暂停使用或流转</x:v>
      </x:c>
      <x:c r="J120" s="5" t="str">
        <x:v>ME004397,ME004398,LG000685</x:v>
      </x:c>
    </x:row>
    <x:row r="121" ht="52" customHeight="1">
      <x:c r="A121" s="5" t="str">
        <x:v>U1397</x:v>
      </x:c>
      <x:c r="B121" s="5" t="str">
        <x:v>YZ26-001397</x:v>
      </x:c>
      <x:c r="C121" s="5" t="str">
        <x:v>B01011</x:v>
      </x:c>
      <x:c r="D121" s="5" t="str">
        <x:v>受影响</x:v>
      </x:c>
      <x:c r="E121" s="5" t="str">
        <x:v>客户现场</x:v>
      </x:c>
      <x:c r="F121" s="5" t="str">
        <x:v>C1397</x:v>
      </x:c>
      <x:c r="G121" s="5" t="str">
        <x:v>D02</x:v>
      </x:c>
      <x:c r="H121" s="5" t="str">
        <x:v>C1397</x:v>
      </x:c>
      <x:c r="I121" s="5" t="str">
        <x:v>暂停使用并安排免费换板</x:v>
      </x:c>
      <x:c r="J121" s="5" t="str">
        <x:v>ME004409,ME004410,LG000691</x:v>
      </x:c>
    </x:row>
    <x:row r="122" ht="52" customHeight="1">
      <x:c r="A122" s="5" t="str">
        <x:v>U1391</x:v>
      </x:c>
      <x:c r="B122" s="5" t="str">
        <x:v>YZ26-001391</x:v>
      </x:c>
      <x:c r="C122" s="5" t="str">
        <x:v>B01391</x:v>
      </x:c>
      <x:c r="D122" s="5" t="str">
        <x:v>受影响</x:v>
      </x:c>
      <x:c r="E122" s="5" t="str">
        <x:v>渠道库存</x:v>
      </x:c>
      <x:c r="F122" s="5" t="str">
        <x:v>D04</x:v>
      </x:c>
      <x:c r="G122" s="5" t="str">
        <x:v>D04</x:v>
      </x:c>
      <x:c r="H122" s="5" t="str">
        <x:v>C1391</x:v>
      </x:c>
      <x:c r="I122" s="5" t="str">
        <x:v>隔离停售；安排免费换板</x:v>
      </x:c>
      <x:c r="J122" s="5" t="str">
        <x:v>ME001047,LG002928</x:v>
      </x:c>
    </x:row>
    <x:row r="123" ht="52" customHeight="1">
      <x:c r="A123" s="5" t="str">
        <x:v>U1122</x:v>
      </x:c>
      <x:c r="B123" s="5" t="str">
        <x:v>YZ26-001122</x:v>
      </x:c>
      <x:c r="C123" s="5" t="str">
        <x:v>B01122</x:v>
      </x:c>
      <x:c r="D123" s="5" t="str">
        <x:v>受影响</x:v>
      </x:c>
      <x:c r="E123" s="5" t="str">
        <x:v>客户现场</x:v>
      </x:c>
      <x:c r="F123" s="5" t="str">
        <x:v>C1122</x:v>
      </x:c>
      <x:c r="G123" s="5" t="str">
        <x:v>D04</x:v>
      </x:c>
      <x:c r="H123" s="5" t="str">
        <x:v>C1122</x:v>
      </x:c>
      <x:c r="I123" s="5" t="str">
        <x:v>暂停使用并安排免费换板</x:v>
      </x:c>
      <x:c r="J123" s="5" t="str">
        <x:v>ME001056,LG000703</x:v>
      </x:c>
    </x:row>
    <x:row r="124" ht="52" customHeight="1">
      <x:c r="A124" s="5" t="str">
        <x:v>U1267</x:v>
      </x:c>
      <x:c r="B124" s="5" t="str">
        <x:v>YZ26-001267</x:v>
      </x:c>
      <x:c r="C124" s="5" t="str">
        <x:v>RB01267</x:v>
      </x:c>
      <x:c r="D124" s="5" t="str">
        <x:v>已整改</x:v>
      </x:c>
      <x:c r="E124" s="5" t="str">
        <x:v>客户现场</x:v>
      </x:c>
      <x:c r="F124" s="5" t="str">
        <x:v>C1267</x:v>
      </x:c>
      <x:c r="G124" s="5" t="str">
        <x:v>D05</x:v>
      </x:c>
      <x:c r="H124" s="5" t="str">
        <x:v>C1267</x:v>
      </x:c>
      <x:c r="I124" s="5" t="str">
        <x:v>设备结案；拆出件单独追踪</x:v>
      </x:c>
      <x:c r="J124" s="5" t="str">
        <x:v>ME004399,ME004400,LG000709,QC00515</x:v>
      </x:c>
    </x:row>
    <x:row r="125" ht="52" customHeight="1">
      <x:c r="A125" s="5" t="str">
        <x:v>U1143</x:v>
      </x:c>
      <x:c r="B125" s="5" t="str">
        <x:v>YZ26-001143</x:v>
      </x:c>
      <x:c r="C125" s="5" t="str">
        <x:v>B01143</x:v>
      </x:c>
      <x:c r="D125" s="5" t="str">
        <x:v>受影响</x:v>
      </x:c>
      <x:c r="E125" s="5" t="str">
        <x:v>客户现场</x:v>
      </x:c>
      <x:c r="F125" s="5" t="str">
        <x:v>C1143</x:v>
      </x:c>
      <x:c r="G125" s="5" t="str">
        <x:v>D06</x:v>
      </x:c>
      <x:c r="H125" s="5" t="str">
        <x:v>C1143</x:v>
      </x:c>
      <x:c r="I125" s="5" t="str">
        <x:v>暂停使用并安排免费换板</x:v>
      </x:c>
      <x:c r="J125" s="5" t="str">
        <x:v>ME001074,LG000715</x:v>
      </x:c>
    </x:row>
  </x:sheetData>
  <x:conditionalFormatting sqref="D6:D125">
    <x:cfRule type="containsText" dxfId="0" priority="1" operator="containsText" text="待核实"/>
    <x:cfRule type="containsText" dxfId="1" priority="2" operator="containsText" text="受影响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</x:cols>
  <x:sheetData>
    <x:row r="2">
      <x:c r="A2" s="2" t="str">
        <x:v>拆出件</x:v>
      </x:c>
      <x:c r="B2" s="1"/>
      <x:c r="C2" s="1"/>
      <x:c r="D2" s="1"/>
      <x:c r="E2" s="1"/>
      <x:c r="F2" s="1"/>
      <x:c r="G2" s="1"/>
    </x:row>
    <x:row r="3">
      <x:c r="A3" s="1" t="str">
        <x:v>云栈P26专项换修 业务冻结2026-10-26 18:00</x:v>
      </x:c>
      <x:c r="B3" s="1"/>
      <x:c r="C3" s="1"/>
      <x:c r="D3" s="1"/>
      <x:c r="E3" s="1"/>
      <x:c r="F3" s="1"/>
      <x:c r="G3" s="1"/>
    </x:row>
    <x:row r="5" ht="36" customHeight="1">
      <x:c r="A5" s="8" t="str">
        <x:v>部件序号</x:v>
      </x:c>
      <x:c r="B5" s="8" t="str">
        <x:v>拆出设备UID</x:v>
      </x:c>
      <x:c r="C5" s="8" t="str">
        <x:v>保管位置</x:v>
      </x:c>
      <x:c r="D5" s="8" t="str">
        <x:v>服务责任渠道</x:v>
      </x:c>
      <x:c r="E5" s="8" t="str">
        <x:v>部件状态</x:v>
      </x:c>
      <x:c r="F5" s="8" t="str">
        <x:v>处置动作</x:v>
      </x:c>
      <x:c r="G5" s="8" t="str">
        <x:v>原始记录定位</x:v>
      </x:c>
    </x:row>
    <x:row r="6" ht="52" customHeight="1">
      <x:c r="A6" s="5" t="str">
        <x:v>B01024</x:v>
      </x:c>
      <x:c r="B6" s="5" t="str">
        <x:v>U1024</x:v>
      </x:c>
      <x:c r="C6" s="5" t="str">
        <x:v>SV01</x:v>
      </x:c>
      <x:c r="D6" s="5" t="str">
        <x:v>D06</x:v>
      </x:c>
      <x:c r="E6" s="5" t="str">
        <x:v>封存待退回</x:v>
      </x:c>
      <x:c r="F6" s="5" t="str">
        <x:v>保持隔离并退回，不得复用</x:v>
      </x:c>
      <x:c r="G6" s="5" t="str">
        <x:v>ME004323</x:v>
      </x:c>
    </x:row>
    <x:row r="7" ht="52" customHeight="1">
      <x:c r="A7" s="5" t="str">
        <x:v>B01160</x:v>
      </x:c>
      <x:c r="B7" s="5" t="str">
        <x:v>U1160</x:v>
      </x:c>
      <x:c r="C7" s="5" t="str">
        <x:v>SV01</x:v>
      </x:c>
      <x:c r="D7" s="5" t="str">
        <x:v>D04</x:v>
      </x:c>
      <x:c r="E7" s="5" t="str">
        <x:v>封存待退回</x:v>
      </x:c>
      <x:c r="F7" s="5" t="str">
        <x:v>保持隔离并退回，不得复用</x:v>
      </x:c>
      <x:c r="G7" s="5" t="str">
        <x:v>ME004327</x:v>
      </x:c>
    </x:row>
    <x:row r="8" ht="52" customHeight="1">
      <x:c r="A8" s="5" t="str">
        <x:v>B01340</x:v>
      </x:c>
      <x:c r="B8" s="5" t="str">
        <x:v>U1340</x:v>
      </x:c>
      <x:c r="C8" s="5" t="str">
        <x:v>SV01</x:v>
      </x:c>
      <x:c r="D8" s="5" t="str">
        <x:v>D05</x:v>
      </x:c>
      <x:c r="E8" s="5" t="str">
        <x:v>封存待退回</x:v>
      </x:c>
      <x:c r="F8" s="5" t="str">
        <x:v>保持隔离并退回，不得复用</x:v>
      </x:c>
      <x:c r="G8" s="5" t="str">
        <x:v>ME004335</x:v>
      </x:c>
    </x:row>
    <x:row r="9" ht="52" customHeight="1">
      <x:c r="A9" s="5" t="str">
        <x:v>B01082</x:v>
      </x:c>
      <x:c r="B9" s="5" t="str">
        <x:v>U1082</x:v>
      </x:c>
      <x:c r="C9" s="5" t="str">
        <x:v>SV01</x:v>
      </x:c>
      <x:c r="D9" s="5" t="str">
        <x:v>D01</x:v>
      </x:c>
      <x:c r="E9" s="5" t="str">
        <x:v>封存待退回</x:v>
      </x:c>
      <x:c r="F9" s="5" t="str">
        <x:v>保持隔离并退回，不得复用</x:v>
      </x:c>
      <x:c r="G9" s="5" t="str">
        <x:v>ME004337</x:v>
      </x:c>
    </x:row>
    <x:row r="10" ht="52" customHeight="1">
      <x:c r="A10" s="5" t="str">
        <x:v>B01126</x:v>
      </x:c>
      <x:c r="B10" s="5" t="str">
        <x:v>U1126</x:v>
      </x:c>
      <x:c r="C10" s="5" t="str">
        <x:v>SV01</x:v>
      </x:c>
      <x:c r="D10" s="5" t="str">
        <x:v>D04</x:v>
      </x:c>
      <x:c r="E10" s="5" t="str">
        <x:v>封存待退回</x:v>
      </x:c>
      <x:c r="F10" s="5" t="str">
        <x:v>保持隔离并退回，不得复用</x:v>
      </x:c>
      <x:c r="G10" s="5" t="str">
        <x:v>ME004341</x:v>
      </x:c>
    </x:row>
    <x:row r="11" ht="52" customHeight="1">
      <x:c r="A11" s="5" t="str">
        <x:v>B01085</x:v>
      </x:c>
      <x:c r="B11" s="5" t="str">
        <x:v>U1085</x:v>
      </x:c>
      <x:c r="C11" s="5" t="str">
        <x:v>SV01</x:v>
      </x:c>
      <x:c r="D11" s="5" t="str">
        <x:v>D03</x:v>
      </x:c>
      <x:c r="E11" s="5" t="str">
        <x:v>封存待退回</x:v>
      </x:c>
      <x:c r="F11" s="5" t="str">
        <x:v>保持隔离并退回，不得复用</x:v>
      </x:c>
      <x:c r="G11" s="5" t="str">
        <x:v>ME004357</x:v>
      </x:c>
    </x:row>
    <x:row r="12" ht="52" customHeight="1">
      <x:c r="A12" s="5" t="str">
        <x:v>B01137</x:v>
      </x:c>
      <x:c r="B12" s="5" t="str">
        <x:v>U1137</x:v>
      </x:c>
      <x:c r="C12" s="5" t="str">
        <x:v>SV01</x:v>
      </x:c>
      <x:c r="D12" s="5" t="str">
        <x:v>D04</x:v>
      </x:c>
      <x:c r="E12" s="5" t="str">
        <x:v>封存待退回</x:v>
      </x:c>
      <x:c r="F12" s="5" t="str">
        <x:v>保持隔离并退回，不得复用</x:v>
      </x:c>
      <x:c r="G12" s="5" t="str">
        <x:v>ME004371</x:v>
      </x:c>
    </x:row>
    <x:row r="13" ht="52" customHeight="1">
      <x:c r="A13" s="5" t="str">
        <x:v>B01451</x:v>
      </x:c>
      <x:c r="B13" s="5" t="str">
        <x:v>U1451</x:v>
      </x:c>
      <x:c r="C13" s="5" t="str">
        <x:v>SV01</x:v>
      </x:c>
      <x:c r="D13" s="5" t="str">
        <x:v>D03</x:v>
      </x:c>
      <x:c r="E13" s="5" t="str">
        <x:v>封存待退回</x:v>
      </x:c>
      <x:c r="F13" s="5" t="str">
        <x:v>保持隔离并退回，不得复用</x:v>
      </x:c>
      <x:c r="G13" s="5" t="str">
        <x:v>ME004373</x:v>
      </x:c>
    </x:row>
    <x:row r="14" ht="52" customHeight="1">
      <x:c r="A14" s="5" t="str">
        <x:v>B01363</x:v>
      </x:c>
      <x:c r="B14" s="5" t="str">
        <x:v>U1363</x:v>
      </x:c>
      <x:c r="C14" s="5" t="str">
        <x:v>SV01</x:v>
      </x:c>
      <x:c r="D14" s="5" t="str">
        <x:v>D04</x:v>
      </x:c>
      <x:c r="E14" s="5" t="str">
        <x:v>封存待退回</x:v>
      </x:c>
      <x:c r="F14" s="5" t="str">
        <x:v>保持隔离并退回，不得复用</x:v>
      </x:c>
      <x:c r="G14" s="5" t="str">
        <x:v>ME004381</x:v>
      </x:c>
    </x:row>
    <x:row r="15" ht="52" customHeight="1">
      <x:c r="A15" s="5" t="str">
        <x:v>B01381</x:v>
      </x:c>
      <x:c r="B15" s="5" t="str">
        <x:v>U1381</x:v>
      </x:c>
      <x:c r="C15" s="5" t="str">
        <x:v>SV01</x:v>
      </x:c>
      <x:c r="D15" s="5" t="str">
        <x:v>D02</x:v>
      </x:c>
      <x:c r="E15" s="5" t="str">
        <x:v>封存待退回</x:v>
      </x:c>
      <x:c r="F15" s="5" t="str">
        <x:v>保持隔离并退回，不得复用</x:v>
      </x:c>
      <x:c r="G15" s="5" t="str">
        <x:v>ME004385</x:v>
      </x:c>
    </x:row>
    <x:row r="16" ht="52" customHeight="1">
      <x:c r="A16" s="5" t="str">
        <x:v>B01412</x:v>
      </x:c>
      <x:c r="B16" s="5" t="str">
        <x:v>U1412</x:v>
      </x:c>
      <x:c r="C16" s="5" t="str">
        <x:v>SV01</x:v>
      </x:c>
      <x:c r="D16" s="5" t="str">
        <x:v>D03</x:v>
      </x:c>
      <x:c r="E16" s="5" t="str">
        <x:v>封存待退回</x:v>
      </x:c>
      <x:c r="F16" s="5" t="str">
        <x:v>保持隔离并退回，不得复用</x:v>
      </x:c>
      <x:c r="G16" s="5" t="str">
        <x:v>ME004387</x:v>
      </x:c>
    </x:row>
    <x:row r="17" ht="52" customHeight="1">
      <x:c r="A17" s="5" t="str">
        <x:v>B01027</x:v>
      </x:c>
      <x:c r="B17" s="5" t="str">
        <x:v>U1027</x:v>
      </x:c>
      <x:c r="C17" s="5" t="str">
        <x:v>SV01</x:v>
      </x:c>
      <x:c r="D17" s="5" t="str">
        <x:v>D01</x:v>
      </x:c>
      <x:c r="E17" s="5" t="str">
        <x:v>封存待退回</x:v>
      </x:c>
      <x:c r="F17" s="5" t="str">
        <x:v>保持隔离并退回，不得复用</x:v>
      </x:c>
      <x:c r="G17" s="5" t="str">
        <x:v>ME004391</x:v>
      </x:c>
    </x:row>
    <x:row r="18" ht="52" customHeight="1">
      <x:c r="A18" s="5" t="str">
        <x:v>B01244</x:v>
      </x:c>
      <x:c r="B18" s="5" t="str">
        <x:v>U1244</x:v>
      </x:c>
      <x:c r="C18" s="5" t="str">
        <x:v>SV01</x:v>
      </x:c>
      <x:c r="D18" s="5" t="str">
        <x:v>D02</x:v>
      </x:c>
      <x:c r="E18" s="5" t="str">
        <x:v>封存待退回</x:v>
      </x:c>
      <x:c r="F18" s="5" t="str">
        <x:v>保持隔离并退回，不得复用</x:v>
      </x:c>
      <x:c r="G18" s="5" t="str">
        <x:v>ME004393</x:v>
      </x:c>
    </x:row>
    <x:row r="19" ht="52" customHeight="1">
      <x:c r="A19" s="5" t="str">
        <x:v>B01337</x:v>
      </x:c>
      <x:c r="B19" s="5" t="str">
        <x:v>U1337</x:v>
      </x:c>
      <x:c r="C19" s="5" t="str">
        <x:v>SV01</x:v>
      </x:c>
      <x:c r="D19" s="5" t="str">
        <x:v>D01</x:v>
      </x:c>
      <x:c r="E19" s="5" t="str">
        <x:v>封存待退回</x:v>
      </x:c>
      <x:c r="F19" s="5" t="str">
        <x:v>保持隔离并退回，不得复用</x:v>
      </x:c>
      <x:c r="G19" s="5" t="str">
        <x:v>ME004395</x:v>
      </x:c>
    </x:row>
    <x:row r="20" ht="52" customHeight="1">
      <x:c r="A20" s="5" t="str">
        <x:v>B01267</x:v>
      </x:c>
      <x:c r="B20" s="5" t="str">
        <x:v>U1267</x:v>
      </x:c>
      <x:c r="C20" s="5" t="str">
        <x:v>SV01</x:v>
      </x:c>
      <x:c r="D20" s="5" t="str">
        <x:v>D05</x:v>
      </x:c>
      <x:c r="E20" s="5" t="str">
        <x:v>封存待退回</x:v>
      </x:c>
      <x:c r="F20" s="5" t="str">
        <x:v>保持隔离并退回，不得复用</x:v>
      </x:c>
      <x:c r="G20" s="5" t="str">
        <x:v>ME004399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100" hidden="0" customWidth="1"/>
    <x:col min="3" max="3" width="55" hidden="0" customWidth="1"/>
  </x:cols>
  <x:sheetData>
    <x:row r="2">
      <x:c r="A2" s="2" t="str">
        <x:v>依据与口径</x:v>
      </x:c>
      <x:c r="B2" s="1"/>
      <x:c r="C2" s="1"/>
    </x:row>
    <x:row r="3">
      <x:c r="A3" s="1" t="str">
        <x:v>云栈P26专项换修 业务冻结2026-10-26 18:00</x:v>
      </x:c>
      <x:c r="B3" s="1"/>
      <x:c r="C3" s="1"/>
    </x:row>
    <x:row r="5" ht="36" customHeight="1">
      <x:c r="A5" s="8" t="str">
        <x:v>业务事项</x:v>
      </x:c>
      <x:c r="B5" s="8" t="str">
        <x:v>核对口径</x:v>
      </x:c>
      <x:c r="C5" s="8" t="str">
        <x:v>源材料</x:v>
      </x:c>
    </x:row>
    <x:row r="6" ht="130" customHeight="1">
      <x:c r="A6" s="5" t="str">
        <x:v>适用范围</x:v>
      </x:c>
      <x:c r="B6" s="5" t="str">
        <x:v>QN-261014生效：P26的CTRL控制板批次CA2609-A或CA2609-B进入专项处置；QN-261023生效补充：A批模穴3排除，A批模穴1/2仍适用；B批仅有绑定部件号且按QC-R3完成的有效PASS证明可排除。QC-R2旧检测不构成豁免。维修闭环要求更换为不在范围内板件并具备QC-R3安装后PASS。10/25将B批整体排除的调整申请未获批准。</x:v>
      </x:c>
      <x:c r="C6" s="5" t="str">
        <x:v>质量资料.pdf QN-261014及QN-261023</x:v>
      </x:c>
    </x:row>
    <x:row r="7" ht="130" customHeight="1">
      <x:c r="A7" s="5" t="str">
        <x:v>装拆身份</x:v>
      </x:c>
      <x:c r="B7" s="5" t="str">
        <x:v>设备UID稳定；机身序列号以已批准换标记录变更。每个装拆事件有唯一事件ID、业务发生时间、入账时间、工单号、设备UID、组件序号、位号、动作。INSTALL/REMOVE/CANCEL；CANCEL的ref明确引用被撤销事件，撤销前后均不能把已撤销事件参与当前关系。重复导出同事件ID一次，截止同时发生与入账&lt;=2026-10-26 18:00。UNKNOWN_INSTALL明确换入板序号未记录，当前身份未知。</x:v>
      </x:c>
      <x:c r="C7" s="5" t="str">
        <x:v>渠道售后协作约定.docx 数据附件；02_制造履历.xlsx</x:v>
      </x:c>
    </x:row>
    <x:row r="8" ht="130" customHeight="1">
      <x:c r="A8" s="5" t="str">
        <x:v>实物流向</x:v>
      </x:c>
      <x:c r="B8" s="5" t="str">
        <x:v>实物事件SHIP/RECEIVE/RETURN_RECEIVE/TRANSFER_RECEIVE/DESTROY/CANCEL。SHIP后在途，RECEIVE后持有方改变，RETURN_REQUEST/REFUND/CREDIT非实物；有效销毁凭证方可标记已处置；CANCEL引用相应事件。物流行dealer为该事件服务责任渠道；最新实物事实优先，其事件dealer确定当前负责渠道，不使用最早开票方。未签收的目的地不是已确认持有方；最新有证据的出发方/承运方与收货人分开。</x:v>
      </x:c>
      <x:c r="C8" s="5" t="str">
        <x:v>渠道售后协作约定.docx 交接记录；03_仓储流转.xlsx</x:v>
      </x:c>
    </x:row>
    <x:row r="9" ht="130" customHeight="1">
      <x:c r="A9" s="5" t="str">
        <x:v>行动与承诺</x:v>
      </x:c>
      <x:c r="B9" s="5" t="str">
        <x:v>只针对P26。确认受影响设备暂停使用/销售，库存隔离，在途优先拦截否则收货后隔离；待核实先暂停流转并补设备铭牌/控制板号/实物流向。明确排除可正常使用，已整改有证据才结束设备处置，拆出的问题控制板仍须封存退回不得复用。已销毁仅归档，不通知客户换修。10/28 17:00前确认接收及位置，10/30 17:00前反馈序列号、处理动作、证据和未完成原因；不承诺所有机器10/30前修完。批准免费检测与控制板更换、指定物流往返运费；未批准整机普遍退款、停工赔偿和风险彻底消除表述。客户用服务邮箱support@yunzhan.example和工单入口service.yunzhan.example/repair（模拟地址不用联网）。</x:v>
      </x:c>
      <x:c r="C9" s="5" t="str">
        <x:v>渠道售后协作约定.docx 服务条款</x:v>
      </x:c>
    </x:row>
    <x:row r="10" ht="130" customHeight="1">
      <x:c r="A10" s="5" t="str">
        <x:v>名单分发</x:v>
      </x:c>
      <x:c r="B10" s="5" t="str">
        <x:v>每渠道只能收到自己负责设备和必要联系信息。内部跟踪表有虚构客户代号及xxx@example.test邮箱；其他渠道客户/联系方式/商业情况不可包含在发给该渠道的正文/附件/隐藏区域。渠道附件可只用设备号和客户代号，联系人由本渠道系统查询；所有渠道汇总只供内部。仅准备草稿，不发送。</x:v>
      </x:c>
      <x:c r="C10" s="5" t="str">
        <x:v>渠道售后协作约定.docx 信息交付条款</x:v>
      </x:c>
    </x:row>
    <x:row r="11" ht="130" customHeight="1">
      <x:c r="A11" s="5" t="str">
        <x:v>回执边界</x:v>
      </x:c>
      <x:c r="B11" s="5" t="str">
        <x:v>回执只对明确版本清单和列示设备有效；笼统全部处理不替代安装、板件和验证凭证；后续新增设备单独处理。记录到齐可以有据结案，不要求统一相信ERP或邮件。</x:v>
      </x:c>
      <x:c r="C11" s="5" t="str">
        <x:v>渠道售后协作约定.docx 回执要求；mail/</x:v>
      </x:c>
    </x:row>
  </x:sheetData>
  <x:pageMargins left="0.7" right="0.7" top="0.75" bottom="0.75" header="0.3" footer="0.3"/>
</x:worksheet>
</file>