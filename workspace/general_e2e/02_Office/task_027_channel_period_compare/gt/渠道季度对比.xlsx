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aa3d8326d4f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算季度对比" sheetId="1" r:id="R272a5fc612294173"/>
    <x:sheet xmlns:r="http://schemas.openxmlformats.org/officeDocument/2006/relationships" name="回款季度对比" sheetId="2" r:id="Rd8a6374de43e41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"/>
    <x:numFmt numFmtId="201" formatCode="#,##0"/>
    <x:numFmt numFmtId="202" formatCode="#,##0.00;[Red]-#,##0.00;0.00"/>
    <x:numFmt numFmtId="203" formatCode="#,##0;[Red]-#,##0;0"/>
    <x:numFmt numFmtId="204" formatCode="0.0000%"/>
    <x:numFmt numFmtId="205" formatCode="0.0000;[Red]-0.0000;0.0000"/>
  </x:numFmts>
  <x:fonts count="7">
    <x:font>
      <x:sz val="11"/>
      <x:name val="Carlito"/>
    </x:font>
    <x:font>
      <x:sz val="10"/>
      <x:color rgb="FF263445"/>
      <x:name val="Microsoft YaHei"/>
    </x:font>
    <x:font>
      <x:b/>
      <x:sz val="15"/>
      <x:color rgb="FF233B56"/>
      <x:name val="Microsoft YaHei"/>
    </x:font>
    <x:font>
      <x:i/>
      <x:sz val="10"/>
      <x:color rgb="FF52657A"/>
      <x:name val="Microsoft YaHei"/>
    </x:font>
    <x:font>
      <x:b/>
      <x:sz val="10"/>
      <x:color rgb="FF233B56"/>
      <x:name val="Microsoft YaHei"/>
    </x:font>
    <x:font>
      <x:sz val="10"/>
      <x:color rgb="FF52657A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233B5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202" fontId="1" fillId="2" borderId="0" xfId="0" applyNumberFormat="1" applyFont="1" applyFill="1" applyBorder="1"/>
    <x:xf numFmtId="202" fontId="1" fillId="0" borderId="0" xfId="0" applyNumberFormat="1" applyFont="1" applyFill="1" applyBorder="1"/>
    <x:xf numFmtId="203" fontId="1" fillId="2" borderId="0" xfId="0" applyNumberFormat="1" applyFont="1" applyFill="1" applyBorder="1"/>
    <x:xf numFmtId="204" fontId="1" fillId="2" borderId="0" xfId="0" applyNumberFormat="1" applyFont="1" applyFill="1" applyBorder="1"/>
    <x:xf numFmtId="205" fontId="1" fillId="2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e6823ca4c46ce" /><Relationship Type="http://schemas.openxmlformats.org/officeDocument/2006/relationships/theme" Target="/xl/theme/theme1.xml" Id="R489c5534c1394240" /><Relationship Type="http://schemas.openxmlformats.org/officeDocument/2006/relationships/sharedStrings" Target="/xl/sharedStrings.xml" Id="R8ad8597de82f45a5" /><Relationship Type="http://schemas.openxmlformats.org/officeDocument/2006/relationships/worksheet" Target="/xl/worksheets/sheet1.xml" Id="R272a5fc612294173" /><Relationship Type="http://schemas.openxmlformats.org/officeDocument/2006/relationships/worksheet" Target="/xl/worksheets/sheet2.xml" Id="Rd8a6374de43e41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B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18" hidden="0" customWidth="1"/>
    <x:col min="7" max="7" width="18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</x:row>
    <x:row r="2" ht="22" customHeight="1">
      <x:c r="A2" s="2" t="str">
        <x:v>渠道结算季度对比</x:v>
      </x:c>
      <x:c r="B2" s="1"/>
      <x:c r="C2" s="1"/>
      <x:c r="D2" s="1"/>
      <x:c r="E2" s="1"/>
      <x:c r="F2" s="1"/>
      <x:c r="G2" s="1"/>
    </x:row>
    <x:row r="3" ht="22" customHeight="1">
      <x:c r="A3" s="3" t="str">
        <x:v>人民币元；增减 = 本期 − 基期，佣金率变化以百分点计。</x:v>
      </x:c>
      <x:c r="B3" s="3"/>
      <x:c r="C3" s="3"/>
      <x:c r="D3" s="3"/>
      <x:c r="E3" s="3"/>
      <x:c r="F3" s="3"/>
      <x:c r="G3" s="1"/>
    </x:row>
    <x:row r="4" ht="22" customHeight="1">
      <x:c r="A4" s="1"/>
      <x:c r="B4" s="1"/>
      <x:c r="C4" s="1"/>
      <x:c r="D4" s="1"/>
      <x:c r="E4" s="1"/>
      <x:c r="F4" s="1"/>
      <x:c r="G4" s="1"/>
    </x:row>
    <x:row r="5" ht="28" customHeight="1">
      <x:c r="A5" s="20" t="str">
        <x:v>渠道商</x:v>
      </x:c>
      <x:c r="B5" s="20" t="str">
        <x:v>指标</x:v>
      </x:c>
      <x:c r="C5" s="20" t="str">
        <x:v>2025 Q4</x:v>
      </x:c>
      <x:c r="D5" s="20" t="str">
        <x:v>2026 Q1</x:v>
      </x:c>
      <x:c r="E5" s="20" t="str">
        <x:v>增减</x:v>
      </x:c>
      <x:c r="F5" s="20" t="str">
        <x:v>单位</x:v>
      </x:c>
      <x:c r="G5" s="1"/>
    </x:row>
    <x:row r="6" ht="22" customHeight="1">
      <x:c r="A6" s="6" t="str">
        <x:v>星辰数码旗舰店</x:v>
      </x:c>
      <x:c r="B6" s="6" t="str">
        <x:v>GMV</x:v>
      </x:c>
      <x:c r="C6" s="7" t="n">
        <x:f>C97</x:f>
        <x:v>1158997</x:v>
      </x:c>
      <x:c r="D6" s="7" t="n">
        <x:f>C98</x:f>
        <x:v>1347324.37</x:v>
      </x:c>
      <x:c r="E6" s="7" t="n">
        <x:f>D6-C6</x:f>
        <x:v>188327.3700000001</x:v>
      </x:c>
      <x:c r="F6" s="6" t="str">
        <x:v>元</x:v>
      </x:c>
      <x:c r="G6" s="1"/>
    </x:row>
    <x:row r="7" ht="22" customHeight="1">
      <x:c r="A7" s="6" t="str">
        <x:v>星辰数码旗舰店</x:v>
      </x:c>
      <x:c r="B7" s="6" t="str">
        <x:v>营收</x:v>
      </x:c>
      <x:c r="C7" s="7" t="n">
        <x:f>D97</x:f>
        <x:v>151235.63</x:v>
      </x:c>
      <x:c r="D7" s="7" t="n">
        <x:f>D98</x:f>
        <x:v>179962.76</x:v>
      </x:c>
      <x:c r="E7" s="7" t="n">
        <x:f>D7-C7</x:f>
        <x:v>28727.130000000005</x:v>
      </x:c>
      <x:c r="F7" s="6" t="str">
        <x:v>元</x:v>
      </x:c>
      <x:c r="G7" s="1"/>
    </x:row>
    <x:row r="8" ht="22" customHeight="1">
      <x:c r="A8" s="6" t="str">
        <x:v>星辰数码旗舰店</x:v>
      </x:c>
      <x:c r="B8" s="6" t="str">
        <x:v>佣金率</x:v>
      </x:c>
      <x:c r="C8" s="10" t="n">
        <x:f>E97/C97</x:f>
        <x:v>0.03716860354254584</x:v>
      </x:c>
      <x:c r="D8" s="10" t="n">
        <x:f>E98/C98</x:f>
        <x:v>0.03805189094887373</x:v>
      </x:c>
      <x:c r="E8" s="11" t="n">
        <x:f>(D8-C8)*100</x:f>
        <x:v>0.08832874063278845</x:v>
      </x:c>
      <x:c r="F8" s="6" t="str">
        <x:v>百分点</x:v>
      </x:c>
      <x:c r="G8" s="1"/>
    </x:row>
    <x:row r="9" ht="22" customHeight="1">
      <x:c r="A9" s="6" t="str">
        <x:v>星辰数码旗舰店</x:v>
      </x:c>
      <x:c r="B9" s="6" t="str">
        <x:v>订单量</x:v>
      </x:c>
      <x:c r="C9" s="9" t="n">
        <x:f>F97</x:f>
        <x:v>3648</x:v>
      </x:c>
      <x:c r="D9" s="9" t="n">
        <x:f>F98</x:f>
        <x:v>3963</x:v>
      </x:c>
      <x:c r="E9" s="9" t="n">
        <x:f>D9-C9</x:f>
        <x:v>315</x:v>
      </x:c>
      <x:c r="F9" s="6" t="str">
        <x:v>单</x:v>
      </x:c>
      <x:c r="G9" s="1"/>
    </x:row>
    <x:row r="10" ht="22" customHeight="1">
      <x:c r="A10" s="1" t="str">
        <x:v>云端优品专营</x:v>
      </x:c>
      <x:c r="B10" s="1" t="str">
        <x:v>GMV</x:v>
      </x:c>
      <x:c r="C10" s="8" t="n">
        <x:f>C99</x:f>
        <x:v>767339.76</x:v>
      </x:c>
      <x:c r="D10" s="8" t="n">
        <x:f>C100</x:f>
        <x:v>852604.13</x:v>
      </x:c>
      <x:c r="E10" s="8" t="n">
        <x:f>D10-C10</x:f>
        <x:v>85264.37</x:v>
      </x:c>
      <x:c r="F10" s="1" t="str">
        <x:v>元</x:v>
      </x:c>
      <x:c r="G10" s="1"/>
    </x:row>
    <x:row r="11" ht="22" customHeight="1">
      <x:c r="A11" s="1" t="str">
        <x:v>云端优品专营</x:v>
      </x:c>
      <x:c r="B11" s="1" t="str">
        <x:v>营收</x:v>
      </x:c>
      <x:c r="C11" s="8" t="n">
        <x:f>D99</x:f>
        <x:v>108173.31</x:v>
      </x:c>
      <x:c r="D11" s="8" t="n">
        <x:f>D100</x:f>
        <x:v>119698.38</x:v>
      </x:c>
      <x:c r="E11" s="8" t="n">
        <x:f>D11-C11</x:f>
        <x:v>11525.070000000007</x:v>
      </x:c>
      <x:c r="F11" s="1" t="str">
        <x:v>元</x:v>
      </x:c>
      <x:c r="G11" s="1"/>
    </x:row>
    <x:row r="12" ht="22" customHeight="1">
      <x:c r="A12" s="1" t="str">
        <x:v>云端优品专营</x:v>
      </x:c>
      <x:c r="B12" s="1" t="str">
        <x:v>佣金率</x:v>
      </x:c>
      <x:c r="C12" s="13" t="n">
        <x:f>E99/C99</x:f>
        <x:v>0.03986103887018705</x:v>
      </x:c>
      <x:c r="D12" s="13" t="n">
        <x:f>E100/C100</x:f>
        <x:v>0.04053052147425089</x:v>
      </x:c>
      <x:c r="E12" s="14" t="n">
        <x:f>(D12-C12)*100</x:f>
        <x:v>0.06694826040638396</x:v>
      </x:c>
      <x:c r="F12" s="1" t="str">
        <x:v>百分点</x:v>
      </x:c>
      <x:c r="G12" s="1"/>
    </x:row>
    <x:row r="13" ht="22" customHeight="1">
      <x:c r="A13" s="1" t="str">
        <x:v>云端优品专营</x:v>
      </x:c>
      <x:c r="B13" s="1" t="str">
        <x:v>订单量</x:v>
      </x:c>
      <x:c r="C13" s="12" t="n">
        <x:f>F99</x:f>
        <x:v>2614</x:v>
      </x:c>
      <x:c r="D13" s="12" t="n">
        <x:f>F100</x:f>
        <x:v>2461</x:v>
      </x:c>
      <x:c r="E13" s="12" t="n">
        <x:f>D13-C13</x:f>
        <x:v>-153</x:v>
      </x:c>
      <x:c r="F13" s="1" t="str">
        <x:v>单</x:v>
      </x:c>
      <x:c r="G13" s="1"/>
    </x:row>
    <x:row r="14" ht="22" customHeight="1">
      <x:c r="A14" s="6" t="str">
        <x:v>锦绣生活馆</x:v>
      </x:c>
      <x:c r="B14" s="6" t="str">
        <x:v>GMV</x:v>
      </x:c>
      <x:c r="C14" s="7" t="n">
        <x:f>C101</x:f>
        <x:v>1569231</x:v>
      </x:c>
      <x:c r="D14" s="7" t="n">
        <x:f>C102</x:f>
        <x:v>1787311.03</x:v>
      </x:c>
      <x:c r="E14" s="7" t="n">
        <x:f>D14-C14</x:f>
        <x:v>218080.03000000003</x:v>
      </x:c>
      <x:c r="F14" s="6" t="str">
        <x:v>元</x:v>
      </x:c>
      <x:c r="G14" s="1"/>
    </x:row>
    <x:row r="15" ht="22" customHeight="1">
      <x:c r="A15" s="6" t="str">
        <x:v>锦绣生活馆</x:v>
      </x:c>
      <x:c r="B15" s="6" t="str">
        <x:v>营收</x:v>
      </x:c>
      <x:c r="C15" s="7" t="n">
        <x:f>D101</x:f>
        <x:v>199972.56</x:v>
      </x:c>
      <x:c r="D15" s="7" t="n">
        <x:f>D102</x:f>
        <x:v>223483.43</x:v>
      </x:c>
      <x:c r="E15" s="7" t="n">
        <x:f>D15-C15</x:f>
        <x:v>23510.869999999995</x:v>
      </x:c>
      <x:c r="F15" s="6" t="str">
        <x:v>元</x:v>
      </x:c>
      <x:c r="G15" s="1"/>
    </x:row>
    <x:row r="16" ht="22" customHeight="1">
      <x:c r="A16" s="6" t="str">
        <x:v>锦绣生活馆</x:v>
      </x:c>
      <x:c r="B16" s="6" t="str">
        <x:v>佣金率</x:v>
      </x:c>
      <x:c r="C16" s="10" t="n">
        <x:f>E101/C101</x:f>
        <x:v>0.03992681765782093</x:v>
      </x:c>
      <x:c r="D16" s="10" t="n">
        <x:f>E102/C102</x:f>
        <x:v>0.03849641100239839</x:v>
      </x:c>
      <x:c r="E16" s="11" t="n">
        <x:f>(D16-C16)*100</x:f>
        <x:v>-0.14304066554225447</x:v>
      </x:c>
      <x:c r="F16" s="6" t="str">
        <x:v>百分点</x:v>
      </x:c>
      <x:c r="G16" s="1"/>
    </x:row>
    <x:row r="17" ht="22" customHeight="1">
      <x:c r="A17" s="6" t="str">
        <x:v>锦绣生活馆</x:v>
      </x:c>
      <x:c r="B17" s="6" t="str">
        <x:v>订单量</x:v>
      </x:c>
      <x:c r="C17" s="9" t="n">
        <x:f>F101</x:f>
        <x:v>4495</x:v>
      </x:c>
      <x:c r="D17" s="9" t="n">
        <x:f>F102</x:f>
        <x:v>6086</x:v>
      </x:c>
      <x:c r="E17" s="9" t="n">
        <x:f>D17-C17</x:f>
        <x:v>1591</x:v>
      </x:c>
      <x:c r="F17" s="6" t="str">
        <x:v>单</x:v>
      </x:c>
      <x:c r="G17" s="1"/>
    </x:row>
    <x:row r="18" ht="22" customHeight="1">
      <x:c r="A18" s="1" t="str">
        <x:v>蓝海科技直营</x:v>
      </x:c>
      <x:c r="B18" s="1" t="str">
        <x:v>GMV</x:v>
      </x:c>
      <x:c r="C18" s="8" t="n">
        <x:f>C103</x:f>
        <x:v>681549.84</x:v>
      </x:c>
      <x:c r="D18" s="8" t="n">
        <x:f>C104</x:f>
        <x:v>697962.56</x:v>
      </x:c>
      <x:c r="E18" s="8" t="n">
        <x:f>D18-C18</x:f>
        <x:v>16412.72000000009</x:v>
      </x:c>
      <x:c r="F18" s="1" t="str">
        <x:v>元</x:v>
      </x:c>
      <x:c r="G18" s="1"/>
    </x:row>
    <x:row r="19" ht="22" customHeight="1">
      <x:c r="A19" s="1" t="str">
        <x:v>蓝海科技直营</x:v>
      </x:c>
      <x:c r="B19" s="1" t="str">
        <x:v>营收</x:v>
      </x:c>
      <x:c r="C19" s="8" t="n">
        <x:f>D103</x:f>
        <x:v>91493.14</x:v>
      </x:c>
      <x:c r="D19" s="8" t="n">
        <x:f>D104</x:f>
        <x:v>88861.57</x:v>
      </x:c>
      <x:c r="E19" s="8" t="n">
        <x:f>D19-C19</x:f>
        <x:v>-2631.5699999999924</x:v>
      </x:c>
      <x:c r="F19" s="1" t="str">
        <x:v>元</x:v>
      </x:c>
      <x:c r="G19" s="1"/>
    </x:row>
    <x:row r="20" ht="22" customHeight="1">
      <x:c r="A20" s="1" t="str">
        <x:v>蓝海科技直营</x:v>
      </x:c>
      <x:c r="B20" s="1" t="str">
        <x:v>佣金率</x:v>
      </x:c>
      <x:c r="C20" s="13" t="n">
        <x:f>E103/C103</x:f>
        <x:v>0.041461971438508445</x:v>
      </x:c>
      <x:c r="D20" s="13" t="n">
        <x:f>E104/C104</x:f>
        <x:v>0.040219564212727967</x:v>
      </x:c>
      <x:c r="E20" s="14" t="n">
        <x:f>(D20-C20)*100</x:f>
        <x:v>-0.12424072257804786</x:v>
      </x:c>
      <x:c r="F20" s="1" t="str">
        <x:v>百分点</x:v>
      </x:c>
      <x:c r="G20" s="1"/>
    </x:row>
    <x:row r="21" ht="22" customHeight="1">
      <x:c r="A21" s="1" t="str">
        <x:v>蓝海科技直营</x:v>
      </x:c>
      <x:c r="B21" s="1" t="str">
        <x:v>订单量</x:v>
      </x:c>
      <x:c r="C21" s="12" t="n">
        <x:f>F103</x:f>
        <x:v>2195</x:v>
      </x:c>
      <x:c r="D21" s="12" t="n">
        <x:f>F104</x:f>
        <x:v>2004</x:v>
      </x:c>
      <x:c r="E21" s="12" t="n">
        <x:f>D21-C21</x:f>
        <x:v>-191</x:v>
      </x:c>
      <x:c r="F21" s="1" t="str">
        <x:v>单</x:v>
      </x:c>
      <x:c r="G21" s="1"/>
    </x:row>
    <x:row r="22" ht="22" customHeight="1">
      <x:c r="A22" s="6" t="str">
        <x:v>万家好物联盟</x:v>
      </x:c>
      <x:c r="B22" s="6" t="str">
        <x:v>GMV</x:v>
      </x:c>
      <x:c r="C22" s="7" t="n">
        <x:f>C105</x:f>
        <x:v>2124097.8</x:v>
      </x:c>
      <x:c r="D22" s="7" t="n">
        <x:f>C106</x:f>
        <x:v>1861736.78</x:v>
      </x:c>
      <x:c r="E22" s="7" t="n">
        <x:f>D22-C22</x:f>
        <x:v>-262361.0199999998</x:v>
      </x:c>
      <x:c r="F22" s="6" t="str">
        <x:v>元</x:v>
      </x:c>
      <x:c r="G22" s="1"/>
    </x:row>
    <x:row r="23" ht="22" customHeight="1">
      <x:c r="A23" s="6" t="str">
        <x:v>万家好物联盟</x:v>
      </x:c>
      <x:c r="B23" s="6" t="str">
        <x:v>营收</x:v>
      </x:c>
      <x:c r="C23" s="7" t="n">
        <x:f>D105</x:f>
        <x:v>284644.9</x:v>
      </x:c>
      <x:c r="D23" s="7" t="n">
        <x:f>D106</x:f>
        <x:v>252556.8</x:v>
      </x:c>
      <x:c r="E23" s="7" t="n">
        <x:f>D23-C23</x:f>
        <x:v>-32088.100000000035</x:v>
      </x:c>
      <x:c r="F23" s="6" t="str">
        <x:v>元</x:v>
      </x:c>
      <x:c r="G23" s="1"/>
    </x:row>
    <x:row r="24" ht="22" customHeight="1">
      <x:c r="A24" s="6" t="str">
        <x:v>万家好物联盟</x:v>
      </x:c>
      <x:c r="B24" s="6" t="str">
        <x:v>佣金率</x:v>
      </x:c>
      <x:c r="C24" s="10" t="n">
        <x:f>E105/C105</x:f>
        <x:v>0.04017376224390422</x:v>
      </x:c>
      <x:c r="D24" s="10" t="n">
        <x:f>E106/C106</x:f>
        <x:v>0.043579968377699445</x:v>
      </x:c>
      <x:c r="E24" s="11" t="n">
        <x:f>(D24-C24)*100</x:f>
        <x:v>0.34062061337952265</x:v>
      </x:c>
      <x:c r="F24" s="6" t="str">
        <x:v>百分点</x:v>
      </x:c>
      <x:c r="G24" s="1"/>
    </x:row>
    <x:row r="25" ht="22" customHeight="1">
      <x:c r="A25" s="6" t="str">
        <x:v>万家好物联盟</x:v>
      </x:c>
      <x:c r="B25" s="6" t="str">
        <x:v>订单量</x:v>
      </x:c>
      <x:c r="C25" s="9" t="n">
        <x:f>F105</x:f>
        <x:v>6801</x:v>
      </x:c>
      <x:c r="D25" s="9" t="n">
        <x:f>F106</x:f>
        <x:v>5966</x:v>
      </x:c>
      <x:c r="E25" s="9" t="n">
        <x:f>D25-C25</x:f>
        <x:v>-835</x:v>
      </x:c>
      <x:c r="F25" s="6" t="str">
        <x:v>单</x:v>
      </x:c>
      <x:c r="G25" s="1"/>
    </x:row>
    <x:row r="26" ht="22" customHeight="1">
      <x:c r="A26" s="1" t="str">
        <x:v>鼎盛电子渠道</x:v>
      </x:c>
      <x:c r="B26" s="1" t="str">
        <x:v>GMV</x:v>
      </x:c>
      <x:c r="C26" s="8" t="n">
        <x:f>C107</x:f>
        <x:v>1113070.2</x:v>
      </x:c>
      <x:c r="D26" s="8" t="n">
        <x:f>C108</x:f>
        <x:v>1206103.61</x:v>
      </x:c>
      <x:c r="E26" s="8" t="n">
        <x:f>D26-C26</x:f>
        <x:v>93033.41000000015</x:v>
      </x:c>
      <x:c r="F26" s="1" t="str">
        <x:v>元</x:v>
      </x:c>
      <x:c r="G26" s="1"/>
    </x:row>
    <x:row r="27" ht="22" customHeight="1">
      <x:c r="A27" s="1" t="str">
        <x:v>鼎盛电子渠道</x:v>
      </x:c>
      <x:c r="B27" s="1" t="str">
        <x:v>营收</x:v>
      </x:c>
      <x:c r="C27" s="8" t="n">
        <x:f>D107</x:f>
        <x:v>149140.72</x:v>
      </x:c>
      <x:c r="D27" s="8" t="n">
        <x:f>D108</x:f>
        <x:v>158954.05</x:v>
      </x:c>
      <x:c r="E27" s="8" t="n">
        <x:f>D27-C27</x:f>
        <x:v>9813.329999999987</x:v>
      </x:c>
      <x:c r="F27" s="1" t="str">
        <x:v>元</x:v>
      </x:c>
      <x:c r="G27" s="1"/>
    </x:row>
    <x:row r="28" ht="22" customHeight="1">
      <x:c r="A28" s="1" t="str">
        <x:v>鼎盛电子渠道</x:v>
      </x:c>
      <x:c r="B28" s="1" t="str">
        <x:v>佣金率</x:v>
      </x:c>
      <x:c r="C28" s="13" t="n">
        <x:f>E107/C107</x:f>
        <x:v>0.03920282835709733</x:v>
      </x:c>
      <x:c r="D28" s="13" t="n">
        <x:f>E108/C108</x:f>
        <x:v>0.03972118116784345</x:v>
      </x:c>
      <x:c r="E28" s="14" t="n">
        <x:f>(D28-C28)*100</x:f>
        <x:v>0.05183528107461158</x:v>
      </x:c>
      <x:c r="F28" s="1" t="str">
        <x:v>百分点</x:v>
      </x:c>
      <x:c r="G28" s="1"/>
    </x:row>
    <x:row r="29" ht="22" customHeight="1">
      <x:c r="A29" s="1" t="str">
        <x:v>鼎盛电子渠道</x:v>
      </x:c>
      <x:c r="B29" s="1" t="str">
        <x:v>订单量</x:v>
      </x:c>
      <x:c r="C29" s="12" t="n">
        <x:f>F107</x:f>
        <x:v>3848</x:v>
      </x:c>
      <x:c r="D29" s="12" t="n">
        <x:f>F108</x:f>
        <x:v>3769</x:v>
      </x:c>
      <x:c r="E29" s="12" t="n">
        <x:f>D29-C29</x:f>
        <x:v>-79</x:v>
      </x:c>
      <x:c r="F29" s="1" t="str">
        <x:v>单</x:v>
      </x:c>
      <x:c r="G29" s="1"/>
    </x:row>
    <x:row r="30" ht="22" customHeight="1">
      <x:c r="A30" s="6" t="str">
        <x:v>金桥百货在线</x:v>
      </x:c>
      <x:c r="B30" s="6" t="str">
        <x:v>GMV</x:v>
      </x:c>
      <x:c r="C30" s="7" t="n">
        <x:f>C109</x:f>
        <x:v>1472404</x:v>
      </x:c>
      <x:c r="D30" s="7" t="n">
        <x:f>C110</x:f>
        <x:v>1317543.83</x:v>
      </x:c>
      <x:c r="E30" s="7" t="n">
        <x:f>D30-C30</x:f>
        <x:v>-154860.16999999993</x:v>
      </x:c>
      <x:c r="F30" s="6" t="str">
        <x:v>元</x:v>
      </x:c>
      <x:c r="G30" s="1"/>
    </x:row>
    <x:row r="31" ht="22" customHeight="1">
      <x:c r="A31" s="6" t="str">
        <x:v>金桥百货在线</x:v>
      </x:c>
      <x:c r="B31" s="6" t="str">
        <x:v>营收</x:v>
      </x:c>
      <x:c r="C31" s="7" t="n">
        <x:f>D109</x:f>
        <x:v>179499.42</x:v>
      </x:c>
      <x:c r="D31" s="7" t="n">
        <x:f>D110</x:f>
        <x:v>171626.56</x:v>
      </x:c>
      <x:c r="E31" s="7" t="n">
        <x:f>D31-C31</x:f>
        <x:v>-7872.860000000015</x:v>
      </x:c>
      <x:c r="F31" s="6" t="str">
        <x:v>元</x:v>
      </x:c>
      <x:c r="G31" s="1"/>
    </x:row>
    <x:row r="32" ht="22" customHeight="1">
      <x:c r="A32" s="6" t="str">
        <x:v>金桥百货在线</x:v>
      </x:c>
      <x:c r="B32" s="6" t="str">
        <x:v>佣金率</x:v>
      </x:c>
      <x:c r="C32" s="10" t="n">
        <x:f>E109/C109</x:f>
        <x:v>0.038421248516032284</x:v>
      </x:c>
      <x:c r="D32" s="10" t="n">
        <x:f>E110/C110</x:f>
        <x:v>0.039928614746729145</x:v>
      </x:c>
      <x:c r="E32" s="11" t="n">
        <x:f>(D32-C32)*100</x:f>
        <x:v>0.15073662306968605</x:v>
      </x:c>
      <x:c r="F32" s="6" t="str">
        <x:v>百分点</x:v>
      </x:c>
      <x:c r="G32" s="1"/>
    </x:row>
    <x:row r="33" ht="22" customHeight="1">
      <x:c r="A33" s="6" t="str">
        <x:v>金桥百货在线</x:v>
      </x:c>
      <x:c r="B33" s="6" t="str">
        <x:v>订单量</x:v>
      </x:c>
      <x:c r="C33" s="9" t="n">
        <x:f>F109</x:f>
        <x:v>3986</x:v>
      </x:c>
      <x:c r="D33" s="9" t="n">
        <x:f>F110</x:f>
        <x:v>4443</x:v>
      </x:c>
      <x:c r="E33" s="9" t="n">
        <x:f>D33-C33</x:f>
        <x:v>457</x:v>
      </x:c>
      <x:c r="F33" s="6" t="str">
        <x:v>单</x:v>
      </x:c>
      <x:c r="G33" s="1"/>
    </x:row>
    <x:row r="34" ht="22" customHeight="1">
      <x:c r="A34" s="1" t="str">
        <x:v>翠微精选商城</x:v>
      </x:c>
      <x:c r="B34" s="1" t="str">
        <x:v>GMV</x:v>
      </x:c>
      <x:c r="C34" s="8" t="n">
        <x:f>C111</x:f>
        <x:v>461102.64</x:v>
      </x:c>
      <x:c r="D34" s="8" t="n">
        <x:f>C112</x:f>
        <x:v>489877.5</x:v>
      </x:c>
      <x:c r="E34" s="8" t="n">
        <x:f>D34-C34</x:f>
        <x:v>28774.859999999986</x:v>
      </x:c>
      <x:c r="F34" s="1" t="str">
        <x:v>元</x:v>
      </x:c>
      <x:c r="G34" s="1"/>
    </x:row>
    <x:row r="35" ht="22" customHeight="1">
      <x:c r="A35" s="1" t="str">
        <x:v>翠微精选商城</x:v>
      </x:c>
      <x:c r="B35" s="1" t="str">
        <x:v>营收</x:v>
      </x:c>
      <x:c r="C35" s="8" t="n">
        <x:f>D111</x:f>
        <x:v>64428.86</x:v>
      </x:c>
      <x:c r="D35" s="8" t="n">
        <x:f>D112</x:f>
        <x:v>66735.37</x:v>
      </x:c>
      <x:c r="E35" s="8" t="n">
        <x:f>D35-C35</x:f>
        <x:v>2306.5099999999948</x:v>
      </x:c>
      <x:c r="F35" s="1" t="str">
        <x:v>元</x:v>
      </x:c>
      <x:c r="G35" s="1"/>
    </x:row>
    <x:row r="36" ht="22" customHeight="1">
      <x:c r="A36" s="1" t="str">
        <x:v>翠微精选商城</x:v>
      </x:c>
      <x:c r="B36" s="1" t="str">
        <x:v>佣金率</x:v>
      </x:c>
      <x:c r="C36" s="13" t="n">
        <x:f>E111/C111</x:f>
        <x:v>0.04268394559614753</x:v>
      </x:c>
      <x:c r="D36" s="13" t="n">
        <x:f>E112/C112</x:f>
        <x:v>0.03771089711203311</x:v>
      </x:c>
      <x:c r="E36" s="14" t="n">
        <x:f>(D36-C36)*100</x:f>
        <x:v>-0.4973048484114416</x:v>
      </x:c>
      <x:c r="F36" s="1" t="str">
        <x:v>百分点</x:v>
      </x:c>
      <x:c r="G36" s="1"/>
    </x:row>
    <x:row r="37" ht="22" customHeight="1">
      <x:c r="A37" s="1" t="str">
        <x:v>翠微精选商城</x:v>
      </x:c>
      <x:c r="B37" s="1" t="str">
        <x:v>订单量</x:v>
      </x:c>
      <x:c r="C37" s="12" t="n">
        <x:f>F111</x:f>
        <x:v>1367</x:v>
      </x:c>
      <x:c r="D37" s="12" t="n">
        <x:f>F112</x:f>
        <x:v>1343</x:v>
      </x:c>
      <x:c r="E37" s="12" t="n">
        <x:f>D37-C37</x:f>
        <x:v>-24</x:v>
      </x:c>
      <x:c r="F37" s="1" t="str">
        <x:v>单</x:v>
      </x:c>
      <x:c r="G37" s="1"/>
    </x:row>
    <x:row r="38" ht="22" customHeight="1">
      <x:c r="A38" s="6" t="str">
        <x:v>优享全球购</x:v>
      </x:c>
      <x:c r="B38" s="6" t="str">
        <x:v>GMV</x:v>
      </x:c>
      <x:c r="C38" s="7" t="n">
        <x:f>C113</x:f>
        <x:v>2111386.8</x:v>
      </x:c>
      <x:c r="D38" s="7" t="n">
        <x:f>C114</x:f>
        <x:v>2223299.92</x:v>
      </x:c>
      <x:c r="E38" s="7" t="n">
        <x:f>D38-C38</x:f>
        <x:v>111913.12000000011</x:v>
      </x:c>
      <x:c r="F38" s="6" t="str">
        <x:v>元</x:v>
      </x:c>
      <x:c r="G38" s="1"/>
    </x:row>
    <x:row r="39" ht="22" customHeight="1">
      <x:c r="A39" s="6" t="str">
        <x:v>优享全球购</x:v>
      </x:c>
      <x:c r="B39" s="6" t="str">
        <x:v>营收</x:v>
      </x:c>
      <x:c r="C39" s="7" t="n">
        <x:f>D113</x:f>
        <x:v>280571.63</x:v>
      </x:c>
      <x:c r="D39" s="7" t="n">
        <x:f>D114</x:f>
        <x:v>277117.37</x:v>
      </x:c>
      <x:c r="E39" s="7" t="n">
        <x:f>D39-C39</x:f>
        <x:v>-3454.2600000000093</x:v>
      </x:c>
      <x:c r="F39" s="6" t="str">
        <x:v>元</x:v>
      </x:c>
      <x:c r="G39" s="1"/>
    </x:row>
    <x:row r="40" ht="22" customHeight="1">
      <x:c r="A40" s="6" t="str">
        <x:v>优享全球购</x:v>
      </x:c>
      <x:c r="B40" s="6" t="str">
        <x:v>佣金率</x:v>
      </x:c>
      <x:c r="C40" s="10" t="n">
        <x:f>E113/C113</x:f>
        <x:v>0.038945867237590005</x:v>
      </x:c>
      <x:c r="D40" s="10" t="n">
        <x:f>E114/C114</x:f>
        <x:v>0.04070514696910527</x:v>
      </x:c>
      <x:c r="E40" s="11" t="n">
        <x:f>(D40-C40)*100</x:f>
        <x:v>0.17592797315152675</x:v>
      </x:c>
      <x:c r="F40" s="6" t="str">
        <x:v>百分点</x:v>
      </x:c>
      <x:c r="G40" s="1"/>
    </x:row>
    <x:row r="41" ht="22" customHeight="1">
      <x:c r="A41" s="6" t="str">
        <x:v>优享全球购</x:v>
      </x:c>
      <x:c r="B41" s="6" t="str">
        <x:v>订单量</x:v>
      </x:c>
      <x:c r="C41" s="9" t="n">
        <x:f>F113</x:f>
        <x:v>6914</x:v>
      </x:c>
      <x:c r="D41" s="9" t="n">
        <x:f>F114</x:f>
        <x:v>6248</x:v>
      </x:c>
      <x:c r="E41" s="9" t="n">
        <x:f>D41-C41</x:f>
        <x:v>-666</x:v>
      </x:c>
      <x:c r="F41" s="6" t="str">
        <x:v>单</x:v>
      </x:c>
      <x:c r="G41" s="1"/>
    </x:row>
    <x:row r="42" ht="22" customHeight="1">
      <x:c r="A42" s="1" t="str">
        <x:v>盛世优选</x:v>
      </x:c>
      <x:c r="B42" s="1" t="str">
        <x:v>GMV</x:v>
      </x:c>
      <x:c r="C42" s="8" t="n">
        <x:f>C115</x:f>
        <x:v>867758.5</x:v>
      </x:c>
      <x:c r="D42" s="8" t="n">
        <x:f>C116</x:f>
        <x:v>828211.44</x:v>
      </x:c>
      <x:c r="E42" s="8" t="n">
        <x:f>D42-C42</x:f>
        <x:v>-39547.060000000056</x:v>
      </x:c>
      <x:c r="F42" s="1" t="str">
        <x:v>元</x:v>
      </x:c>
      <x:c r="G42" s="1"/>
    </x:row>
    <x:row r="43" ht="22" customHeight="1">
      <x:c r="A43" s="1" t="str">
        <x:v>盛世优选</x:v>
      </x:c>
      <x:c r="B43" s="1" t="str">
        <x:v>营收</x:v>
      </x:c>
      <x:c r="C43" s="8" t="n">
        <x:f>D115</x:f>
        <x:v>110616.83</x:v>
      </x:c>
      <x:c r="D43" s="8" t="n">
        <x:f>D116</x:f>
        <x:v>98924.75</x:v>
      </x:c>
      <x:c r="E43" s="8" t="n">
        <x:f>D43-C43</x:f>
        <x:v>-11692.080000000002</x:v>
      </x:c>
      <x:c r="F43" s="1" t="str">
        <x:v>元</x:v>
      </x:c>
      <x:c r="G43" s="1"/>
    </x:row>
    <x:row r="44" ht="22" customHeight="1">
      <x:c r="A44" s="1" t="str">
        <x:v>盛世优选</x:v>
      </x:c>
      <x:c r="B44" s="1" t="str">
        <x:v>佣金率</x:v>
      </x:c>
      <x:c r="C44" s="13" t="n">
        <x:f>E115/C115</x:f>
        <x:v>0.042299821897451885</x:v>
      </x:c>
      <x:c r="D44" s="13" t="n">
        <x:f>E116/C116</x:f>
        <x:v>0.041610956255325335</x:v>
      </x:c>
      <x:c r="E44" s="14" t="n">
        <x:f>(D44-C44)*100</x:f>
        <x:v>-0.06888656421265502</x:v>
      </x:c>
      <x:c r="F44" s="1" t="str">
        <x:v>百分点</x:v>
      </x:c>
      <x:c r="G44" s="1"/>
    </x:row>
    <x:row r="45" ht="22" customHeight="1">
      <x:c r="A45" s="1" t="str">
        <x:v>盛世优选</x:v>
      </x:c>
      <x:c r="B45" s="1" t="str">
        <x:v>订单量</x:v>
      </x:c>
      <x:c r="C45" s="12" t="n">
        <x:f>F115</x:f>
        <x:v>2579</x:v>
      </x:c>
      <x:c r="D45" s="12" t="n">
        <x:f>F116</x:f>
        <x:v>2725</x:v>
      </x:c>
      <x:c r="E45" s="12" t="n">
        <x:f>D45-C45</x:f>
        <x:v>146</x:v>
      </x:c>
      <x:c r="F45" s="1" t="str">
        <x:v>单</x:v>
      </x:c>
      <x:c r="G45" s="1"/>
    </x:row>
    <x:row r="46" ht="22" customHeight="1">
      <x:c r="A46" s="6" t="str">
        <x:v>天际数码港</x:v>
      </x:c>
      <x:c r="B46" s="6" t="str">
        <x:v>GMV</x:v>
      </x:c>
      <x:c r="C46" s="7" t="n">
        <x:f>C117</x:f>
        <x:v>1139160.66</x:v>
      </x:c>
      <x:c r="D46" s="7" t="n">
        <x:f>C118</x:f>
        <x:v>1330980.64</x:v>
      </x:c>
      <x:c r="E46" s="7" t="n">
        <x:f>D46-C46</x:f>
        <x:v>191819.97999999998</x:v>
      </x:c>
      <x:c r="F46" s="6" t="str">
        <x:v>元</x:v>
      </x:c>
      <x:c r="G46" s="1"/>
    </x:row>
    <x:row r="47" ht="22" customHeight="1">
      <x:c r="A47" s="6" t="str">
        <x:v>天际数码港</x:v>
      </x:c>
      <x:c r="B47" s="6" t="str">
        <x:v>营收</x:v>
      </x:c>
      <x:c r="C47" s="7" t="n">
        <x:f>D117</x:f>
        <x:v>131384.56</x:v>
      </x:c>
      <x:c r="D47" s="7" t="n">
        <x:f>D118</x:f>
        <x:v>170994.26</x:v>
      </x:c>
      <x:c r="E47" s="7" t="n">
        <x:f>D47-C47</x:f>
        <x:v>39609.70000000001</x:v>
      </x:c>
      <x:c r="F47" s="6" t="str">
        <x:v>元</x:v>
      </x:c>
      <x:c r="G47" s="1"/>
    </x:row>
    <x:row r="48" ht="22" customHeight="1">
      <x:c r="A48" s="6" t="str">
        <x:v>天际数码港</x:v>
      </x:c>
      <x:c r="B48" s="6" t="str">
        <x:v>佣金率</x:v>
      </x:c>
      <x:c r="C48" s="10" t="n">
        <x:f>E117/C117</x:f>
        <x:v>0.040725774360922895</x:v>
      </x:c>
      <x:c r="D48" s="10" t="n">
        <x:f>E118/C118</x:f>
        <x:v>0.03878123276083115</x:v>
      </x:c>
      <x:c r="E48" s="11" t="n">
        <x:f>(D48-C48)*100</x:f>
        <x:v>-0.19445416000917481</x:v>
      </x:c>
      <x:c r="F48" s="6" t="str">
        <x:v>百分点</x:v>
      </x:c>
      <x:c r="G48" s="1"/>
    </x:row>
    <x:row r="49" ht="22" customHeight="1">
      <x:c r="A49" s="6" t="str">
        <x:v>天际数码港</x:v>
      </x:c>
      <x:c r="B49" s="6" t="str">
        <x:v>订单量</x:v>
      </x:c>
      <x:c r="C49" s="9" t="n">
        <x:f>F117</x:f>
        <x:v>3722</x:v>
      </x:c>
      <x:c r="D49" s="9" t="n">
        <x:f>F118</x:f>
        <x:v>4986</x:v>
      </x:c>
      <x:c r="E49" s="9" t="n">
        <x:f>D49-C49</x:f>
        <x:v>1264</x:v>
      </x:c>
      <x:c r="F49" s="6" t="str">
        <x:v>单</x:v>
      </x:c>
      <x:c r="G49" s="1"/>
    </x:row>
    <x:row r="50" ht="22" customHeight="1">
      <x:c r="A50" s="1" t="str">
        <x:v>惠通达渠道</x:v>
      </x:c>
      <x:c r="B50" s="1" t="str">
        <x:v>GMV</x:v>
      </x:c>
      <x:c r="C50" s="8" t="n">
        <x:f>C119</x:f>
        <x:v>523962.3</x:v>
      </x:c>
      <x:c r="D50" s="8" t="n">
        <x:f>C120</x:f>
        <x:v>622201.1</x:v>
      </x:c>
      <x:c r="E50" s="8" t="n">
        <x:f>D50-C50</x:f>
        <x:v>98238.79999999999</x:v>
      </x:c>
      <x:c r="F50" s="1" t="str">
        <x:v>元</x:v>
      </x:c>
      <x:c r="G50" s="1"/>
    </x:row>
    <x:row r="51" ht="22" customHeight="1">
      <x:c r="A51" s="1" t="str">
        <x:v>惠通达渠道</x:v>
      </x:c>
      <x:c r="B51" s="1" t="str">
        <x:v>营收</x:v>
      </x:c>
      <x:c r="C51" s="8" t="n">
        <x:f>D119</x:f>
        <x:v>64190.96</x:v>
      </x:c>
      <x:c r="D51" s="8" t="n">
        <x:f>D120</x:f>
        <x:v>79730.1</x:v>
      </x:c>
      <x:c r="E51" s="8" t="n">
        <x:f>D51-C51</x:f>
        <x:v>15539.140000000007</x:v>
      </x:c>
      <x:c r="F51" s="1" t="str">
        <x:v>元</x:v>
      </x:c>
      <x:c r="G51" s="1"/>
    </x:row>
    <x:row r="52" ht="22" customHeight="1">
      <x:c r="A52" s="1" t="str">
        <x:v>惠通达渠道</x:v>
      </x:c>
      <x:c r="B52" s="1" t="str">
        <x:v>佣金率</x:v>
      </x:c>
      <x:c r="C52" s="13" t="n">
        <x:f>E119/C119</x:f>
        <x:v>0.04144414588606852</x:v>
      </x:c>
      <x:c r="D52" s="13" t="n">
        <x:f>E120/C120</x:f>
        <x:v>0.0398231536395548</x:v>
      </x:c>
      <x:c r="E52" s="14" t="n">
        <x:f>(D52-C52)*100</x:f>
        <x:v>-0.16209922465137208</x:v>
      </x:c>
      <x:c r="F52" s="1" t="str">
        <x:v>百分点</x:v>
      </x:c>
      <x:c r="G52" s="1"/>
    </x:row>
    <x:row r="53" ht="22" customHeight="1">
      <x:c r="A53" s="1" t="str">
        <x:v>惠通达渠道</x:v>
      </x:c>
      <x:c r="B53" s="1" t="str">
        <x:v>订单量</x:v>
      </x:c>
      <x:c r="C53" s="12" t="n">
        <x:f>F119</x:f>
        <x:v>1510</x:v>
      </x:c>
      <x:c r="D53" s="12" t="n">
        <x:f>F120</x:f>
        <x:v>1927</x:v>
      </x:c>
      <x:c r="E53" s="12" t="n">
        <x:f>D53-C53</x:f>
        <x:v>417</x:v>
      </x:c>
      <x:c r="F53" s="1" t="str">
        <x:v>单</x:v>
      </x:c>
      <x:c r="G53" s="1"/>
    </x:row>
    <x:row r="54" ht="22" customHeight="1">
      <x:c r="A54" s="6" t="str">
        <x:v>芯联科技店</x:v>
      </x:c>
      <x:c r="B54" s="6" t="str">
        <x:v>GMV</x:v>
      </x:c>
      <x:c r="C54" s="7" t="n">
        <x:f>C121</x:f>
        <x:v>1675249</x:v>
      </x:c>
      <x:c r="D54" s="7" t="n">
        <x:f>C122</x:f>
        <x:v>1943953.76</x:v>
      </x:c>
      <x:c r="E54" s="7" t="n">
        <x:f>D54-C54</x:f>
        <x:v>268704.76</x:v>
      </x:c>
      <x:c r="F54" s="6" t="str">
        <x:v>元</x:v>
      </x:c>
      <x:c r="G54" s="1"/>
    </x:row>
    <x:row r="55" ht="22" customHeight="1">
      <x:c r="A55" s="6" t="str">
        <x:v>芯联科技店</x:v>
      </x:c>
      <x:c r="B55" s="6" t="str">
        <x:v>营收</x:v>
      </x:c>
      <x:c r="C55" s="7" t="n">
        <x:f>D121</x:f>
        <x:v>222262.58</x:v>
      </x:c>
      <x:c r="D55" s="7" t="n">
        <x:f>D122</x:f>
        <x:v>252346.23</x:v>
      </x:c>
      <x:c r="E55" s="7" t="n">
        <x:f>D55-C55</x:f>
        <x:v>30083.650000000023</x:v>
      </x:c>
      <x:c r="F55" s="6" t="str">
        <x:v>元</x:v>
      </x:c>
      <x:c r="G55" s="1"/>
    </x:row>
    <x:row r="56" ht="22" customHeight="1">
      <x:c r="A56" s="6" t="str">
        <x:v>芯联科技店</x:v>
      </x:c>
      <x:c r="B56" s="6" t="str">
        <x:v>佣金率</x:v>
      </x:c>
      <x:c r="C56" s="10" t="n">
        <x:f>E121/C121</x:f>
        <x:v>0.04320161361087218</x:v>
      </x:c>
      <x:c r="D56" s="10" t="n">
        <x:f>E122/C122</x:f>
        <x:v>0.03800397495051529</x:v>
      </x:c>
      <x:c r="E56" s="11" t="n">
        <x:f>(D56-C56)*100</x:f>
        <x:v>-0.5197638660356891</x:v>
      </x:c>
      <x:c r="F56" s="6" t="str">
        <x:v>百分点</x:v>
      </x:c>
      <x:c r="G56" s="1"/>
    </x:row>
    <x:row r="57" ht="22" customHeight="1">
      <x:c r="A57" s="6" t="str">
        <x:v>芯联科技店</x:v>
      </x:c>
      <x:c r="B57" s="6" t="str">
        <x:v>订单量</x:v>
      </x:c>
      <x:c r="C57" s="9" t="n">
        <x:f>F121</x:f>
        <x:v>4606</x:v>
      </x:c>
      <x:c r="D57" s="9" t="n">
        <x:f>F122</x:f>
        <x:v>6083</x:v>
      </x:c>
      <x:c r="E57" s="9" t="n">
        <x:f>D57-C57</x:f>
        <x:v>1477</x:v>
      </x:c>
      <x:c r="F57" s="6" t="str">
        <x:v>单</x:v>
      </x:c>
      <x:c r="G57" s="1"/>
    </x:row>
    <x:row r="58" ht="22" customHeight="1">
      <x:c r="A58" s="1" t="str">
        <x:v>品胜严选</x:v>
      </x:c>
      <x:c r="B58" s="1" t="str">
        <x:v>GMV</x:v>
      </x:c>
      <x:c r="C58" s="8" t="n">
        <x:f>C123</x:f>
        <x:v>907002.88</x:v>
      </x:c>
      <x:c r="D58" s="8" t="n">
        <x:f>C124</x:f>
        <x:v>1088442.87</x:v>
      </x:c>
      <x:c r="E58" s="8" t="n">
        <x:f>D58-C58</x:f>
        <x:v>181439.9900000001</x:v>
      </x:c>
      <x:c r="F58" s="1" t="str">
        <x:v>元</x:v>
      </x:c>
      <x:c r="G58" s="1"/>
    </x:row>
    <x:row r="59" ht="22" customHeight="1">
      <x:c r="A59" s="1" t="str">
        <x:v>品胜严选</x:v>
      </x:c>
      <x:c r="B59" s="1" t="str">
        <x:v>营收</x:v>
      </x:c>
      <x:c r="C59" s="8" t="n">
        <x:f>D123</x:f>
        <x:v>125883.03</x:v>
      </x:c>
      <x:c r="D59" s="8" t="n">
        <x:f>D124</x:f>
        <x:v>150038.96</x:v>
      </x:c>
      <x:c r="E59" s="8" t="n">
        <x:f>D59-C59</x:f>
        <x:v>24155.929999999993</x:v>
      </x:c>
      <x:c r="F59" s="1" t="str">
        <x:v>元</x:v>
      </x:c>
      <x:c r="G59" s="1"/>
    </x:row>
    <x:row r="60" ht="22" customHeight="1">
      <x:c r="A60" s="1" t="str">
        <x:v>品胜严选</x:v>
      </x:c>
      <x:c r="B60" s="1" t="str">
        <x:v>佣金率</x:v>
      </x:c>
      <x:c r="C60" s="13" t="n">
        <x:f>E123/C123</x:f>
        <x:v>0.03922392175866079</x:v>
      </x:c>
      <x:c r="D60" s="13" t="n">
        <x:f>E124/C124</x:f>
        <x:v>0.040166435193792024</x:v>
      </x:c>
      <x:c r="E60" s="14" t="n">
        <x:f>(D60-C60)*100</x:f>
        <x:v>0.09425134351312356</x:v>
      </x:c>
      <x:c r="F60" s="1" t="str">
        <x:v>百分点</x:v>
      </x:c>
      <x:c r="G60" s="1"/>
    </x:row>
    <x:row r="61" ht="22" customHeight="1">
      <x:c r="A61" s="1" t="str">
        <x:v>品胜严选</x:v>
      </x:c>
      <x:c r="B61" s="1" t="str">
        <x:v>订单量</x:v>
      </x:c>
      <x:c r="C61" s="12" t="n">
        <x:f>F123</x:f>
        <x:v>2663</x:v>
      </x:c>
      <x:c r="D61" s="12" t="n">
        <x:f>F124</x:f>
        <x:v>3515</x:v>
      </x:c>
      <x:c r="E61" s="12" t="n">
        <x:f>D61-C61</x:f>
        <x:v>852</x:v>
      </x:c>
      <x:c r="F61" s="1" t="str">
        <x:v>单</x:v>
      </x:c>
      <x:c r="G61" s="1"/>
    </x:row>
    <x:row r="62" ht="22" customHeight="1">
      <x:c r="A62" s="6" t="str">
        <x:v>智汇通数码</x:v>
      </x:c>
      <x:c r="B62" s="6" t="str">
        <x:v>GMV</x:v>
      </x:c>
      <x:c r="C62" s="7" t="n">
        <x:f>C125</x:f>
        <x:v>1320445.28</x:v>
      </x:c>
      <x:c r="D62" s="7" t="n">
        <x:f>C126</x:f>
        <x:v>1486600.38</x:v>
      </x:c>
      <x:c r="E62" s="7" t="n">
        <x:f>D62-C62</x:f>
        <x:v>166155.09999999986</x:v>
      </x:c>
      <x:c r="F62" s="6" t="str">
        <x:v>元</x:v>
      </x:c>
      <x:c r="G62" s="1"/>
    </x:row>
    <x:row r="63" ht="22" customHeight="1">
      <x:c r="A63" s="6" t="str">
        <x:v>智汇通数码</x:v>
      </x:c>
      <x:c r="B63" s="6" t="str">
        <x:v>营收</x:v>
      </x:c>
      <x:c r="C63" s="7" t="n">
        <x:f>D125</x:f>
        <x:v>178342.54</x:v>
      </x:c>
      <x:c r="D63" s="7" t="n">
        <x:f>D126</x:f>
        <x:v>176081.91</x:v>
      </x:c>
      <x:c r="E63" s="7" t="n">
        <x:f>D63-C63</x:f>
        <x:v>-2260.6300000000047</x:v>
      </x:c>
      <x:c r="F63" s="6" t="str">
        <x:v>元</x:v>
      </x:c>
      <x:c r="G63" s="1"/>
    </x:row>
    <x:row r="64" ht="22" customHeight="1">
      <x:c r="A64" s="6" t="str">
        <x:v>智汇通数码</x:v>
      </x:c>
      <x:c r="B64" s="6" t="str">
        <x:v>佣金率</x:v>
      </x:c>
      <x:c r="C64" s="10" t="n">
        <x:f>E125/C125</x:f>
        <x:v>0.03835934041886234</x:v>
      </x:c>
      <x:c r="D64" s="10" t="n">
        <x:f>E126/C126</x:f>
        <x:v>0.039402828620291354</x:v>
      </x:c>
      <x:c r="E64" s="11" t="n">
        <x:f>(D64-C64)*100</x:f>
        <x:v>0.10434882014290145</x:v>
      </x:c>
      <x:c r="F64" s="6" t="str">
        <x:v>百分点</x:v>
      </x:c>
      <x:c r="G64" s="1"/>
    </x:row>
    <x:row r="65" ht="22" customHeight="1">
      <x:c r="A65" s="6" t="str">
        <x:v>智汇通数码</x:v>
      </x:c>
      <x:c r="B65" s="6" t="str">
        <x:v>订单量</x:v>
      </x:c>
      <x:c r="C65" s="9" t="n">
        <x:f>F125</x:f>
        <x:v>4284</x:v>
      </x:c>
      <x:c r="D65" s="9" t="n">
        <x:f>F126</x:f>
        <x:v>4900</x:v>
      </x:c>
      <x:c r="E65" s="9" t="n">
        <x:f>D65-C65</x:f>
        <x:v>616</x:v>
      </x:c>
      <x:c r="F65" s="6" t="str">
        <x:v>单</x:v>
      </x:c>
      <x:c r="G65" s="1"/>
    </x:row>
    <x:row r="66" ht="22" customHeight="1">
      <x:c r="A66" s="1" t="str">
        <x:v>乐购优品</x:v>
      </x:c>
      <x:c r="B66" s="1" t="str">
        <x:v>GMV</x:v>
      </x:c>
      <x:c r="C66" s="8" t="n">
        <x:f>C127</x:f>
        <x:v>680265.6</x:v>
      </x:c>
      <x:c r="D66" s="8" t="n">
        <x:f>C128</x:f>
        <x:v>817155.59</x:v>
      </x:c>
      <x:c r="E66" s="8" t="n">
        <x:f>D66-C66</x:f>
        <x:v>136889.99</x:v>
      </x:c>
      <x:c r="F66" s="1" t="str">
        <x:v>元</x:v>
      </x:c>
      <x:c r="G66" s="1"/>
    </x:row>
    <x:row r="67" ht="22" customHeight="1">
      <x:c r="A67" s="1" t="str">
        <x:v>乐购优品</x:v>
      </x:c>
      <x:c r="B67" s="1" t="str">
        <x:v>营收</x:v>
      </x:c>
      <x:c r="C67" s="8" t="n">
        <x:f>D127</x:f>
        <x:v>85092.05</x:v>
      </x:c>
      <x:c r="D67" s="8" t="n">
        <x:f>D128</x:f>
        <x:v>105694.23</x:v>
      </x:c>
      <x:c r="E67" s="8" t="n">
        <x:f>D67-C67</x:f>
        <x:v>20602.179999999993</x:v>
      </x:c>
      <x:c r="F67" s="1" t="str">
        <x:v>元</x:v>
      </x:c>
      <x:c r="G67" s="1"/>
    </x:row>
    <x:row r="68" ht="22" customHeight="1">
      <x:c r="A68" s="1" t="str">
        <x:v>乐购优品</x:v>
      </x:c>
      <x:c r="B68" s="1" t="str">
        <x:v>佣金率</x:v>
      </x:c>
      <x:c r="C68" s="13" t="n">
        <x:f>E127/C127</x:f>
        <x:v>0.037733967438600455</x:v>
      </x:c>
      <x:c r="D68" s="13" t="n">
        <x:f>E128/C128</x:f>
        <x:v>0.042316323137433345</x:v>
      </x:c>
      <x:c r="E68" s="14" t="n">
        <x:f>(D68-C68)*100</x:f>
        <x:v>0.45823556988328906</x:v>
      </x:c>
      <x:c r="F68" s="1" t="str">
        <x:v>百分点</x:v>
      </x:c>
      <x:c r="G68" s="1"/>
    </x:row>
    <x:row r="69" ht="22" customHeight="1">
      <x:c r="A69" s="1" t="str">
        <x:v>乐购优品</x:v>
      </x:c>
      <x:c r="B69" s="1" t="str">
        <x:v>订单量</x:v>
      </x:c>
      <x:c r="C69" s="12" t="n">
        <x:f>F127</x:f>
        <x:v>2037</x:v>
      </x:c>
      <x:c r="D69" s="12" t="n">
        <x:f>F128</x:f>
        <x:v>2568</x:v>
      </x:c>
      <x:c r="E69" s="12" t="n">
        <x:f>D69-C69</x:f>
        <x:v>531</x:v>
      </x:c>
      <x:c r="F69" s="1" t="str">
        <x:v>单</x:v>
      </x:c>
      <x:c r="G69" s="1"/>
    </x:row>
    <x:row r="70" ht="22" customHeight="1">
      <x:c r="A70" s="6" t="str">
        <x:v>汇鑫商贸</x:v>
      </x:c>
      <x:c r="B70" s="6" t="str">
        <x:v>GMV</x:v>
      </x:c>
      <x:c r="C70" s="7" t="n">
        <x:f>C129</x:f>
        <x:v>1491325.92</x:v>
      </x:c>
      <x:c r="D70" s="7" t="n">
        <x:f>C130</x:f>
        <x:v>1535457.1</x:v>
      </x:c>
      <x:c r="E70" s="7" t="n">
        <x:f>D70-C70</x:f>
        <x:v>44131.18000000017</x:v>
      </x:c>
      <x:c r="F70" s="6" t="str">
        <x:v>元</x:v>
      </x:c>
      <x:c r="G70" s="1"/>
    </x:row>
    <x:row r="71" ht="22" customHeight="1">
      <x:c r="A71" s="6" t="str">
        <x:v>汇鑫商贸</x:v>
      </x:c>
      <x:c r="B71" s="6" t="str">
        <x:v>营收</x:v>
      </x:c>
      <x:c r="C71" s="7" t="n">
        <x:f>D129</x:f>
        <x:v>176529.15</x:v>
      </x:c>
      <x:c r="D71" s="7" t="n">
        <x:f>D130</x:f>
        <x:v>206439.76</x:v>
      </x:c>
      <x:c r="E71" s="7" t="n">
        <x:f>D71-C71</x:f>
        <x:v>29910.610000000015</x:v>
      </x:c>
      <x:c r="F71" s="6" t="str">
        <x:v>元</x:v>
      </x:c>
      <x:c r="G71" s="1"/>
    </x:row>
    <x:row r="72" ht="22" customHeight="1">
      <x:c r="A72" s="6" t="str">
        <x:v>汇鑫商贸</x:v>
      </x:c>
      <x:c r="B72" s="6" t="str">
        <x:v>佣金率</x:v>
      </x:c>
      <x:c r="C72" s="10" t="n">
        <x:f>E129/C129</x:f>
        <x:v>0.04066251996746627</x:v>
      </x:c>
      <x:c r="D72" s="10" t="n">
        <x:f>E130/C130</x:f>
        <x:v>0.04042330456513568</x:v>
      </x:c>
      <x:c r="E72" s="11" t="n">
        <x:f>(D72-C72)*100</x:f>
        <x:v>-0.023921540233058647</x:v>
      </x:c>
      <x:c r="F72" s="6" t="str">
        <x:v>百分点</x:v>
      </x:c>
      <x:c r="G72" s="1"/>
    </x:row>
    <x:row r="73" ht="22" customHeight="1">
      <x:c r="A73" s="6" t="str">
        <x:v>汇鑫商贸</x:v>
      </x:c>
      <x:c r="B73" s="6" t="str">
        <x:v>订单量</x:v>
      </x:c>
      <x:c r="C73" s="9" t="n">
        <x:f>F129</x:f>
        <x:v>4575</x:v>
      </x:c>
      <x:c r="D73" s="9" t="n">
        <x:f>F130</x:f>
        <x:v>4807</x:v>
      </x:c>
      <x:c r="E73" s="9" t="n">
        <x:f>D73-C73</x:f>
        <x:v>232</x:v>
      </x:c>
      <x:c r="F73" s="6" t="str">
        <x:v>单</x:v>
      </x:c>
      <x:c r="G73" s="1"/>
    </x:row>
    <x:row r="74" ht="22" customHeight="1">
      <x:c r="A74" s="1" t="str">
        <x:v>凯瑞电商</x:v>
      </x:c>
      <x:c r="B74" s="1" t="str">
        <x:v>GMV</x:v>
      </x:c>
      <x:c r="C74" s="8" t="n">
        <x:f>C131</x:f>
        <x:v>570636.8</x:v>
      </x:c>
      <x:c r="D74" s="8" t="n">
        <x:f>C132</x:f>
        <x:v>650369.87</x:v>
      </x:c>
      <x:c r="E74" s="8" t="n">
        <x:f>D74-C74</x:f>
        <x:v>79733.06999999995</x:v>
      </x:c>
      <x:c r="F74" s="1" t="str">
        <x:v>元</x:v>
      </x:c>
      <x:c r="G74" s="1"/>
    </x:row>
    <x:row r="75" ht="22" customHeight="1">
      <x:c r="A75" s="1" t="str">
        <x:v>凯瑞电商</x:v>
      </x:c>
      <x:c r="B75" s="1" t="str">
        <x:v>营收</x:v>
      </x:c>
      <x:c r="C75" s="8" t="n">
        <x:f>D131</x:f>
        <x:v>70775.59</x:v>
      </x:c>
      <x:c r="D75" s="8" t="n">
        <x:f>D132</x:f>
        <x:v>85021.9</x:v>
      </x:c>
      <x:c r="E75" s="8" t="n">
        <x:f>D75-C75</x:f>
        <x:v>14246.309999999998</x:v>
      </x:c>
      <x:c r="F75" s="1" t="str">
        <x:v>元</x:v>
      </x:c>
      <x:c r="G75" s="1"/>
    </x:row>
    <x:row r="76" ht="22" customHeight="1">
      <x:c r="A76" s="1" t="str">
        <x:v>凯瑞电商</x:v>
      </x:c>
      <x:c r="B76" s="1" t="str">
        <x:v>佣金率</x:v>
      </x:c>
      <x:c r="C76" s="13" t="n">
        <x:f>E131/C131</x:f>
        <x:v>0.042572578564859465</x:v>
      </x:c>
      <x:c r="D76" s="13" t="n">
        <x:f>E132/C132</x:f>
        <x:v>0.04180847123191608</x:v>
      </x:c>
      <x:c r="E76" s="14" t="n">
        <x:f>(D76-C76)*100</x:f>
        <x:v>-0.07641073329433812</x:v>
      </x:c>
      <x:c r="F76" s="1" t="str">
        <x:v>百分点</x:v>
      </x:c>
      <x:c r="G76" s="1"/>
    </x:row>
    <x:row r="77" ht="22" customHeight="1">
      <x:c r="A77" s="1" t="str">
        <x:v>凯瑞电商</x:v>
      </x:c>
      <x:c r="B77" s="1" t="str">
        <x:v>订单量</x:v>
      </x:c>
      <x:c r="C77" s="12" t="n">
        <x:f>F131</x:f>
        <x:v>1702</x:v>
      </x:c>
      <x:c r="D77" s="12" t="n">
        <x:f>F132</x:f>
        <x:v>2003</x:v>
      </x:c>
      <x:c r="E77" s="12" t="n">
        <x:f>D77-C77</x:f>
        <x:v>301</x:v>
      </x:c>
      <x:c r="F77" s="1" t="str">
        <x:v>单</x:v>
      </x:c>
      <x:c r="G77" s="1"/>
    </x:row>
    <x:row r="78" ht="22" customHeight="1">
      <x:c r="A78" s="6" t="str">
        <x:v>尚品优选</x:v>
      </x:c>
      <x:c r="B78" s="6" t="str">
        <x:v>GMV</x:v>
      </x:c>
      <x:c r="C78" s="7" t="n">
        <x:f>C133</x:f>
        <x:v>1582667.52</x:v>
      </x:c>
      <x:c r="D78" s="7" t="n">
        <x:f>C134</x:f>
        <x:v>1722491.89</x:v>
      </x:c>
      <x:c r="E78" s="7" t="n">
        <x:f>D78-C78</x:f>
        <x:v>139824.36999999988</x:v>
      </x:c>
      <x:c r="F78" s="6" t="str">
        <x:v>元</x:v>
      </x:c>
      <x:c r="G78" s="1"/>
    </x:row>
    <x:row r="79" ht="22" customHeight="1">
      <x:c r="A79" s="6" t="str">
        <x:v>尚品优选</x:v>
      </x:c>
      <x:c r="B79" s="6" t="str">
        <x:v>营收</x:v>
      </x:c>
      <x:c r="C79" s="7" t="n">
        <x:f>D133</x:f>
        <x:v>195111.86</x:v>
      </x:c>
      <x:c r="D79" s="7" t="n">
        <x:f>D134</x:f>
        <x:v>214692.92</x:v>
      </x:c>
      <x:c r="E79" s="7" t="n">
        <x:f>D79-C79</x:f>
        <x:v>19581.060000000027</x:v>
      </x:c>
      <x:c r="F79" s="6" t="str">
        <x:v>元</x:v>
      </x:c>
      <x:c r="G79" s="1"/>
    </x:row>
    <x:row r="80" ht="22" customHeight="1">
      <x:c r="A80" s="6" t="str">
        <x:v>尚品优选</x:v>
      </x:c>
      <x:c r="B80" s="6" t="str">
        <x:v>佣金率</x:v>
      </x:c>
      <x:c r="C80" s="10" t="n">
        <x:f>E133/C133</x:f>
        <x:v>0.03804550181202935</x:v>
      </x:c>
      <x:c r="D80" s="10" t="n">
        <x:f>E134/C134</x:f>
        <x:v>0.04067732940095294</x:v>
      </x:c>
      <x:c r="E80" s="11" t="n">
        <x:f>(D80-C80)*100</x:f>
        <x:v>0.26318275889235937</x:v>
      </x:c>
      <x:c r="F80" s="6" t="str">
        <x:v>百分点</x:v>
      </x:c>
      <x:c r="G80" s="1"/>
    </x:row>
    <x:row r="81" ht="22" customHeight="1">
      <x:c r="A81" s="6" t="str">
        <x:v>尚品优选</x:v>
      </x:c>
      <x:c r="B81" s="6" t="str">
        <x:v>订单量</x:v>
      </x:c>
      <x:c r="C81" s="9" t="n">
        <x:f>F133</x:f>
        <x:v>5293</x:v>
      </x:c>
      <x:c r="D81" s="9" t="n">
        <x:f>F134</x:f>
        <x:v>5139</x:v>
      </x:c>
      <x:c r="E81" s="9" t="n">
        <x:f>D81-C81</x:f>
        <x:v>-154</x:v>
      </x:c>
      <x:c r="F81" s="6" t="str">
        <x:v>单</x:v>
      </x:c>
      <x:c r="G81" s="1"/>
    </x:row>
    <x:row r="82" ht="22" customHeight="1">
      <x:c r="A82" s="1" t="str">
        <x:v>环球数码城</x:v>
      </x:c>
      <x:c r="B82" s="1" t="str">
        <x:v>GMV</x:v>
      </x:c>
      <x:c r="C82" s="8" t="n">
        <x:f>C135</x:f>
        <x:v>967736.64</x:v>
      </x:c>
      <x:c r="D82" s="8" t="n">
        <x:f>C136</x:f>
        <x:v>1031593.49</x:v>
      </x:c>
      <x:c r="E82" s="8" t="n">
        <x:f>D82-C82</x:f>
        <x:v>63856.84999999998</x:v>
      </x:c>
      <x:c r="F82" s="1" t="str">
        <x:v>元</x:v>
      </x:c>
      <x:c r="G82" s="1"/>
    </x:row>
    <x:row r="83" ht="22" customHeight="1">
      <x:c r="A83" s="1" t="str">
        <x:v>环球数码城</x:v>
      </x:c>
      <x:c r="B83" s="1" t="str">
        <x:v>营收</x:v>
      </x:c>
      <x:c r="C83" s="8" t="n">
        <x:f>D135</x:f>
        <x:v>124197.55</x:v>
      </x:c>
      <x:c r="D83" s="8" t="n">
        <x:f>D136</x:f>
        <x:v>134733.91</x:v>
      </x:c>
      <x:c r="E83" s="8" t="n">
        <x:f>D83-C83</x:f>
        <x:v>10536.36</x:v>
      </x:c>
      <x:c r="F83" s="1" t="str">
        <x:v>元</x:v>
      </x:c>
      <x:c r="G83" s="1"/>
    </x:row>
    <x:row r="84" ht="22" customHeight="1">
      <x:c r="A84" s="1" t="str">
        <x:v>环球数码城</x:v>
      </x:c>
      <x:c r="B84" s="1" t="str">
        <x:v>佣金率</x:v>
      </x:c>
      <x:c r="C84" s="13" t="n">
        <x:f>E135/C135</x:f>
        <x:v>0.037615616165984994</x:v>
      </x:c>
      <x:c r="D84" s="13" t="n">
        <x:f>E136/C136</x:f>
        <x:v>0.04256866723732427</x:v>
      </x:c>
      <x:c r="E84" s="14" t="n">
        <x:f>(D84-C84)*100</x:f>
        <x:v>0.4953051071339275</x:v>
      </x:c>
      <x:c r="F84" s="1" t="str">
        <x:v>百分点</x:v>
      </x:c>
      <x:c r="G84" s="1"/>
    </x:row>
    <x:row r="85" ht="22" customHeight="1">
      <x:c r="A85" s="1" t="str">
        <x:v>环球数码城</x:v>
      </x:c>
      <x:c r="B85" s="1" t="str">
        <x:v>订单量</x:v>
      </x:c>
      <x:c r="C85" s="12" t="n">
        <x:f>F135</x:f>
        <x:v>2890</x:v>
      </x:c>
      <x:c r="D85" s="12" t="n">
        <x:f>F136</x:f>
        <x:v>3055</x:v>
      </x:c>
      <x:c r="E85" s="12" t="n">
        <x:f>D85-C85</x:f>
        <x:v>165</x:v>
      </x:c>
      <x:c r="F85" s="1" t="str">
        <x:v>单</x:v>
      </x:c>
      <x:c r="G85" s="1"/>
    </x:row>
    <x:row r="86" ht="22" customHeight="1">
      <x:c r="A86" s="1"/>
      <x:c r="B86" s="1"/>
      <x:c r="C86" s="1"/>
      <x:c r="D86" s="1"/>
      <x:c r="E86" s="1"/>
      <x:c r="F86" s="1"/>
      <x:c r="G86" s="1"/>
    </x:row>
    <x:row r="87" ht="22" customHeight="1">
      <x:c r="A87" s="1"/>
      <x:c r="B87" s="1"/>
      <x:c r="C87" s="1"/>
      <x:c r="D87" s="1"/>
      <x:c r="E87" s="1"/>
      <x:c r="F87" s="1"/>
      <x:c r="G87" s="1"/>
    </x:row>
    <x:row r="88" ht="22" customHeight="1">
      <x:c r="A88" s="15" t="str">
        <x:v>统计口径</x:v>
      </x:c>
      <x:c r="B88" s="1"/>
      <x:c r="C88" s="1"/>
      <x:c r="D88" s="1"/>
      <x:c r="E88" s="1"/>
      <x:c r="F88" s="1"/>
      <x:c r="G88" s="1"/>
    </x:row>
    <x:row r="89" ht="22" customHeight="1">
      <x:c r="A89" s="16" t="str">
        <x:v>以QUARTER中的已确认业务季度归属，未确认记录未参与季度比较。</x:v>
      </x:c>
      <x:c r="B89" s="16"/>
      <x:c r="C89" s="16"/>
      <x:c r="D89" s="16"/>
      <x:c r="E89" s="16"/>
      <x:c r="F89" s="16"/>
      <x:c r="G89" s="16"/>
    </x:row>
    <x:row r="90" ht="22" customHeight="1">
      <x:c r="A90" s="16" t="str">
        <x:v>已剔除整行重复；1210条源记录，去重后1205条，纳入1200条，两期各600条。</x:v>
      </x:c>
      <x:c r="B90" s="16"/>
      <x:c r="C90" s="16"/>
      <x:c r="D90" s="16"/>
      <x:c r="E90" s="16"/>
      <x:c r="F90" s="16"/>
      <x:c r="G90" s="16"/>
    </x:row>
    <x:row r="91" ht="22" customHeight="1">
      <x:c r="A91" s="16" t="str">
        <x:v>佣金率 = 同渠道同季度的佣金合计 ÷ GMV合计；增减使用未舍入值。</x:v>
      </x:c>
      <x:c r="B91" s="16"/>
      <x:c r="C91" s="16"/>
      <x:c r="D91" s="16"/>
      <x:c r="E91" s="16"/>
      <x:c r="F91" s="16"/>
      <x:c r="G91" s="16"/>
    </x:row>
    <x:row r="92" ht="22" customHeight="1">
      <x:c r="A92" s="16" t="str">
        <x:v>订单量按有效记录累加；20个渠道均纳入。金额为人民币元。</x:v>
      </x:c>
      <x:c r="B92" s="16"/>
      <x:c r="C92" s="16"/>
      <x:c r="D92" s="16"/>
      <x:c r="E92" s="16"/>
      <x:c r="F92" s="16"/>
      <x:c r="G92" s="16"/>
    </x:row>
    <x:row r="93" ht="22" customHeight="1">
      <x:c r="A93" s="16" t="str">
        <x:v>来源：input/渠道结算明细.xlsx，结算明细；下方为去重后的季度汇总。</x:v>
      </x:c>
      <x:c r="B93" s="16"/>
      <x:c r="C93" s="16"/>
      <x:c r="D93" s="16"/>
      <x:c r="E93" s="16"/>
      <x:c r="F93" s="16"/>
      <x:c r="G93" s="16"/>
    </x:row>
    <x:row r="94" ht="22" customHeight="1">
      <x:c r="A94" s="1"/>
      <x:c r="B94" s="1"/>
      <x:c r="C94" s="1"/>
      <x:c r="D94" s="1"/>
      <x:c r="E94" s="1"/>
      <x:c r="F94" s="1"/>
      <x:c r="G94" s="1"/>
    </x:row>
    <x:row r="95" ht="22" customHeight="1">
      <x:c r="A95" s="1" t="str">
        <x:v>季度汇总依据（各指标按有效记录累计）</x:v>
      </x:c>
      <x:c r="B95" s="1"/>
      <x:c r="C95" s="1"/>
      <x:c r="D95" s="1"/>
      <x:c r="E95" s="1"/>
      <x:c r="F95" s="1"/>
      <x:c r="G95" s="1"/>
    </x:row>
    <x:row r="96" ht="28" customHeight="1">
      <x:c r="A96" s="20" t="str">
        <x:v>渠道商</x:v>
      </x:c>
      <x:c r="B96" s="20" t="str">
        <x:v>业务季度</x:v>
      </x:c>
      <x:c r="C96" s="20" t="str">
        <x:v>GMV</x:v>
      </x:c>
      <x:c r="D96" s="20" t="str">
        <x:v>REVENUE</x:v>
      </x:c>
      <x:c r="E96" s="20" t="str">
        <x:v>COMMISSION</x:v>
      </x:c>
      <x:c r="F96" s="20" t="str">
        <x:v>ORDER_COUNT</x:v>
      </x:c>
      <x:c r="G96" s="20"/>
    </x:row>
    <x:row r="97" ht="22" customHeight="1">
      <x:c r="A97" s="1" t="str">
        <x:v>星辰数码旗舰店</x:v>
      </x:c>
      <x:c r="B97" s="1" t="str">
        <x:v>25Q4</x:v>
      </x:c>
      <x:c r="C97" s="4" t="n">
        <x:v>1158997</x:v>
      </x:c>
      <x:c r="D97" s="4" t="n">
        <x:v>151235.63</x:v>
      </x:c>
      <x:c r="E97" s="4" t="n">
        <x:v>43078.3</x:v>
      </x:c>
      <x:c r="F97" s="5" t="n">
        <x:v>3648</x:v>
      </x:c>
      <x:c r="G97" s="4"/>
    </x:row>
    <x:row r="98" ht="22" customHeight="1">
      <x:c r="A98" s="1" t="str">
        <x:v>星辰数码旗舰店</x:v>
      </x:c>
      <x:c r="B98" s="1" t="str">
        <x:v>26Q1</x:v>
      </x:c>
      <x:c r="C98" s="4" t="n">
        <x:v>1347324.37</x:v>
      </x:c>
      <x:c r="D98" s="4" t="n">
        <x:v>179962.76</x:v>
      </x:c>
      <x:c r="E98" s="4" t="n">
        <x:v>51268.24</x:v>
      </x:c>
      <x:c r="F98" s="5" t="n">
        <x:v>3963</x:v>
      </x:c>
      <x:c r="G98" s="4"/>
    </x:row>
    <x:row r="99" ht="22" customHeight="1">
      <x:c r="A99" s="1" t="str">
        <x:v>云端优品专营</x:v>
      </x:c>
      <x:c r="B99" s="1" t="str">
        <x:v>25Q4</x:v>
      </x:c>
      <x:c r="C99" s="4" t="n">
        <x:v>767339.76</x:v>
      </x:c>
      <x:c r="D99" s="4" t="n">
        <x:v>108173.31</x:v>
      </x:c>
      <x:c r="E99" s="4" t="n">
        <x:v>30586.96</x:v>
      </x:c>
      <x:c r="F99" s="5" t="n">
        <x:v>2614</x:v>
      </x:c>
      <x:c r="G99" s="4"/>
    </x:row>
    <x:row r="100" ht="22" customHeight="1">
      <x:c r="A100" s="1" t="str">
        <x:v>云端优品专营</x:v>
      </x:c>
      <x:c r="B100" s="1" t="str">
        <x:v>26Q1</x:v>
      </x:c>
      <x:c r="C100" s="4" t="n">
        <x:v>852604.13</x:v>
      </x:c>
      <x:c r="D100" s="4" t="n">
        <x:v>119698.38</x:v>
      </x:c>
      <x:c r="E100" s="4" t="n">
        <x:v>34556.49</x:v>
      </x:c>
      <x:c r="F100" s="5" t="n">
        <x:v>2461</x:v>
      </x:c>
      <x:c r="G100" s="4"/>
    </x:row>
    <x:row r="101" ht="22" customHeight="1">
      <x:c r="A101" s="1" t="str">
        <x:v>锦绣生活馆</x:v>
      </x:c>
      <x:c r="B101" s="1" t="str">
        <x:v>25Q4</x:v>
      </x:c>
      <x:c r="C101" s="4" t="n">
        <x:v>1569231</x:v>
      </x:c>
      <x:c r="D101" s="4" t="n">
        <x:v>199972.56</x:v>
      </x:c>
      <x:c r="E101" s="4" t="n">
        <x:v>62654.4</x:v>
      </x:c>
      <x:c r="F101" s="5" t="n">
        <x:v>4495</x:v>
      </x:c>
      <x:c r="G101" s="4"/>
    </x:row>
    <x:row r="102" ht="22" customHeight="1">
      <x:c r="A102" s="1" t="str">
        <x:v>锦绣生活馆</x:v>
      </x:c>
      <x:c r="B102" s="1" t="str">
        <x:v>26Q1</x:v>
      </x:c>
      <x:c r="C102" s="4" t="n">
        <x:v>1787311.03</x:v>
      </x:c>
      <x:c r="D102" s="4" t="n">
        <x:v>223483.43</x:v>
      </x:c>
      <x:c r="E102" s="4" t="n">
        <x:v>68805.06</x:v>
      </x:c>
      <x:c r="F102" s="5" t="n">
        <x:v>6086</x:v>
      </x:c>
      <x:c r="G102" s="4"/>
    </x:row>
    <x:row r="103" ht="22" customHeight="1">
      <x:c r="A103" s="1" t="str">
        <x:v>蓝海科技直营</x:v>
      </x:c>
      <x:c r="B103" s="1" t="str">
        <x:v>25Q4</x:v>
      </x:c>
      <x:c r="C103" s="4" t="n">
        <x:v>681549.84</x:v>
      </x:c>
      <x:c r="D103" s="4" t="n">
        <x:v>91493.14</x:v>
      </x:c>
      <x:c r="E103" s="4" t="n">
        <x:v>28258.4</x:v>
      </x:c>
      <x:c r="F103" s="5" t="n">
        <x:v>2195</x:v>
      </x:c>
      <x:c r="G103" s="4"/>
    </x:row>
    <x:row r="104" ht="22" customHeight="1">
      <x:c r="A104" s="1" t="str">
        <x:v>蓝海科技直营</x:v>
      </x:c>
      <x:c r="B104" s="1" t="str">
        <x:v>26Q1</x:v>
      </x:c>
      <x:c r="C104" s="4" t="n">
        <x:v>697962.56</x:v>
      </x:c>
      <x:c r="D104" s="4" t="n">
        <x:v>88861.57</x:v>
      </x:c>
      <x:c r="E104" s="4" t="n">
        <x:v>28071.75</x:v>
      </x:c>
      <x:c r="F104" s="5" t="n">
        <x:v>2004</x:v>
      </x:c>
      <x:c r="G104" s="4"/>
    </x:row>
    <x:row r="105" ht="22" customHeight="1">
      <x:c r="A105" s="1" t="str">
        <x:v>万家好物联盟</x:v>
      </x:c>
      <x:c r="B105" s="1" t="str">
        <x:v>25Q4</x:v>
      </x:c>
      <x:c r="C105" s="4" t="n">
        <x:v>2124097.8</x:v>
      </x:c>
      <x:c r="D105" s="4" t="n">
        <x:v>284644.9</x:v>
      </x:c>
      <x:c r="E105" s="4" t="n">
        <x:v>85333</x:v>
      </x:c>
      <x:c r="F105" s="5" t="n">
        <x:v>6801</x:v>
      </x:c>
      <x:c r="G105" s="4"/>
    </x:row>
    <x:row r="106" ht="22" customHeight="1">
      <x:c r="A106" s="1" t="str">
        <x:v>万家好物联盟</x:v>
      </x:c>
      <x:c r="B106" s="1" t="str">
        <x:v>26Q1</x:v>
      </x:c>
      <x:c r="C106" s="4" t="n">
        <x:v>1861736.78</x:v>
      </x:c>
      <x:c r="D106" s="4" t="n">
        <x:v>252556.8</x:v>
      </x:c>
      <x:c r="E106" s="4" t="n">
        <x:v>81134.43</x:v>
      </x:c>
      <x:c r="F106" s="5" t="n">
        <x:v>5966</x:v>
      </x:c>
      <x:c r="G106" s="4"/>
    </x:row>
    <x:row r="107" ht="22" customHeight="1">
      <x:c r="A107" s="1" t="str">
        <x:v>鼎盛电子渠道</x:v>
      </x:c>
      <x:c r="B107" s="1" t="str">
        <x:v>25Q4</x:v>
      </x:c>
      <x:c r="C107" s="4" t="n">
        <x:v>1113070.2</x:v>
      </x:c>
      <x:c r="D107" s="4" t="n">
        <x:v>149140.72</x:v>
      </x:c>
      <x:c r="E107" s="4" t="n">
        <x:v>43635.5</x:v>
      </x:c>
      <x:c r="F107" s="5" t="n">
        <x:v>3848</x:v>
      </x:c>
      <x:c r="G107" s="4"/>
    </x:row>
    <x:row r="108" ht="22" customHeight="1">
      <x:c r="A108" s="1" t="str">
        <x:v>鼎盛电子渠道</x:v>
      </x:c>
      <x:c r="B108" s="1" t="str">
        <x:v>26Q1</x:v>
      </x:c>
      <x:c r="C108" s="4" t="n">
        <x:v>1206103.61</x:v>
      </x:c>
      <x:c r="D108" s="4" t="n">
        <x:v>158954.05</x:v>
      </x:c>
      <x:c r="E108" s="4" t="n">
        <x:v>47907.86</x:v>
      </x:c>
      <x:c r="F108" s="5" t="n">
        <x:v>3769</x:v>
      </x:c>
      <x:c r="G108" s="4"/>
    </x:row>
    <x:row r="109" ht="22" customHeight="1">
      <x:c r="A109" s="1" t="str">
        <x:v>金桥百货在线</x:v>
      </x:c>
      <x:c r="B109" s="1" t="str">
        <x:v>25Q4</x:v>
      </x:c>
      <x:c r="C109" s="4" t="n">
        <x:v>1472404</x:v>
      </x:c>
      <x:c r="D109" s="4" t="n">
        <x:v>179499.42</x:v>
      </x:c>
      <x:c r="E109" s="4" t="n">
        <x:v>56571.6</x:v>
      </x:c>
      <x:c r="F109" s="5" t="n">
        <x:v>3986</x:v>
      </x:c>
      <x:c r="G109" s="4"/>
    </x:row>
    <x:row r="110" ht="22" customHeight="1">
      <x:c r="A110" s="1" t="str">
        <x:v>金桥百货在线</x:v>
      </x:c>
      <x:c r="B110" s="1" t="str">
        <x:v>26Q1</x:v>
      </x:c>
      <x:c r="C110" s="4" t="n">
        <x:v>1317543.83</x:v>
      </x:c>
      <x:c r="D110" s="4" t="n">
        <x:v>171626.56</x:v>
      </x:c>
      <x:c r="E110" s="4" t="n">
        <x:v>52607.7</x:v>
      </x:c>
      <x:c r="F110" s="5" t="n">
        <x:v>4443</x:v>
      </x:c>
      <x:c r="G110" s="4"/>
    </x:row>
    <x:row r="111" ht="22" customHeight="1">
      <x:c r="A111" s="1" t="str">
        <x:v>翠微精选商城</x:v>
      </x:c>
      <x:c r="B111" s="1" t="str">
        <x:v>25Q4</x:v>
      </x:c>
      <x:c r="C111" s="4" t="n">
        <x:v>461102.64</x:v>
      </x:c>
      <x:c r="D111" s="4" t="n">
        <x:v>64428.86</x:v>
      </x:c>
      <x:c r="E111" s="4" t="n">
        <x:v>19681.68</x:v>
      </x:c>
      <x:c r="F111" s="5" t="n">
        <x:v>1367</x:v>
      </x:c>
      <x:c r="G111" s="4"/>
    </x:row>
    <x:row r="112" ht="22" customHeight="1">
      <x:c r="A112" s="1" t="str">
        <x:v>翠微精选商城</x:v>
      </x:c>
      <x:c r="B112" s="1" t="str">
        <x:v>26Q1</x:v>
      </x:c>
      <x:c r="C112" s="4" t="n">
        <x:v>489877.5</x:v>
      </x:c>
      <x:c r="D112" s="4" t="n">
        <x:v>66735.37</x:v>
      </x:c>
      <x:c r="E112" s="4" t="n">
        <x:v>18473.72</x:v>
      </x:c>
      <x:c r="F112" s="5" t="n">
        <x:v>1343</x:v>
      </x:c>
      <x:c r="G112" s="4"/>
    </x:row>
    <x:row r="113" ht="22" customHeight="1">
      <x:c r="A113" s="1" t="str">
        <x:v>优享全球购</x:v>
      </x:c>
      <x:c r="B113" s="1" t="str">
        <x:v>25Q4</x:v>
      </x:c>
      <x:c r="C113" s="4" t="n">
        <x:v>2111386.8</x:v>
      </x:c>
      <x:c r="D113" s="4" t="n">
        <x:v>280571.63</x:v>
      </x:c>
      <x:c r="E113" s="4" t="n">
        <x:v>82229.79</x:v>
      </x:c>
      <x:c r="F113" s="5" t="n">
        <x:v>6914</x:v>
      </x:c>
      <x:c r="G113" s="4"/>
    </x:row>
    <x:row r="114" ht="22" customHeight="1">
      <x:c r="A114" s="1" t="str">
        <x:v>优享全球购</x:v>
      </x:c>
      <x:c r="B114" s="1" t="str">
        <x:v>26Q1</x:v>
      </x:c>
      <x:c r="C114" s="4" t="n">
        <x:v>2223299.92</x:v>
      </x:c>
      <x:c r="D114" s="4" t="n">
        <x:v>277117.37</x:v>
      </x:c>
      <x:c r="E114" s="4" t="n">
        <x:v>90499.75</x:v>
      </x:c>
      <x:c r="F114" s="5" t="n">
        <x:v>6248</x:v>
      </x:c>
      <x:c r="G114" s="4"/>
    </x:row>
    <x:row r="115" ht="22" customHeight="1">
      <x:c r="A115" s="1" t="str">
        <x:v>盛世优选</x:v>
      </x:c>
      <x:c r="B115" s="1" t="str">
        <x:v>25Q4</x:v>
      </x:c>
      <x:c r="C115" s="4" t="n">
        <x:v>867758.5</x:v>
      </x:c>
      <x:c r="D115" s="4" t="n">
        <x:v>110616.83</x:v>
      </x:c>
      <x:c r="E115" s="4" t="n">
        <x:v>36706.03</x:v>
      </x:c>
      <x:c r="F115" s="5" t="n">
        <x:v>2579</x:v>
      </x:c>
      <x:c r="G115" s="4"/>
    </x:row>
    <x:row r="116" ht="22" customHeight="1">
      <x:c r="A116" s="1" t="str">
        <x:v>盛世优选</x:v>
      </x:c>
      <x:c r="B116" s="1" t="str">
        <x:v>26Q1</x:v>
      </x:c>
      <x:c r="C116" s="4" t="n">
        <x:v>828211.44</x:v>
      </x:c>
      <x:c r="D116" s="4" t="n">
        <x:v>98924.75</x:v>
      </x:c>
      <x:c r="E116" s="4" t="n">
        <x:v>34462.67</x:v>
      </x:c>
      <x:c r="F116" s="5" t="n">
        <x:v>2725</x:v>
      </x:c>
      <x:c r="G116" s="4"/>
    </x:row>
    <x:row r="117" ht="22" customHeight="1">
      <x:c r="A117" s="1" t="str">
        <x:v>天际数码港</x:v>
      </x:c>
      <x:c r="B117" s="1" t="str">
        <x:v>25Q4</x:v>
      </x:c>
      <x:c r="C117" s="4" t="n">
        <x:v>1139160.66</x:v>
      </x:c>
      <x:c r="D117" s="4" t="n">
        <x:v>131384.56</x:v>
      </x:c>
      <x:c r="E117" s="4" t="n">
        <x:v>46393.2</x:v>
      </x:c>
      <x:c r="F117" s="5" t="n">
        <x:v>3722</x:v>
      </x:c>
      <x:c r="G117" s="4"/>
    </x:row>
    <x:row r="118" ht="22" customHeight="1">
      <x:c r="A118" s="1" t="str">
        <x:v>天际数码港</x:v>
      </x:c>
      <x:c r="B118" s="1" t="str">
        <x:v>26Q1</x:v>
      </x:c>
      <x:c r="C118" s="4" t="n">
        <x:v>1330980.64</x:v>
      </x:c>
      <x:c r="D118" s="4" t="n">
        <x:v>170994.26</x:v>
      </x:c>
      <x:c r="E118" s="4" t="n">
        <x:v>51617.07</x:v>
      </x:c>
      <x:c r="F118" s="5" t="n">
        <x:v>4986</x:v>
      </x:c>
      <x:c r="G118" s="4"/>
    </x:row>
    <x:row r="119" ht="22" customHeight="1">
      <x:c r="A119" s="1" t="str">
        <x:v>惠通达渠道</x:v>
      </x:c>
      <x:c r="B119" s="1" t="str">
        <x:v>25Q4</x:v>
      </x:c>
      <x:c r="C119" s="4" t="n">
        <x:v>523962.3</x:v>
      </x:c>
      <x:c r="D119" s="4" t="n">
        <x:v>64190.96</x:v>
      </x:c>
      <x:c r="E119" s="4" t="n">
        <x:v>21715.17</x:v>
      </x:c>
      <x:c r="F119" s="5" t="n">
        <x:v>1510</x:v>
      </x:c>
      <x:c r="G119" s="4"/>
    </x:row>
    <x:row r="120" ht="22" customHeight="1">
      <x:c r="A120" s="1" t="str">
        <x:v>惠通达渠道</x:v>
      </x:c>
      <x:c r="B120" s="1" t="str">
        <x:v>26Q1</x:v>
      </x:c>
      <x:c r="C120" s="4" t="n">
        <x:v>622201.1</x:v>
      </x:c>
      <x:c r="D120" s="4" t="n">
        <x:v>79730.1</x:v>
      </x:c>
      <x:c r="E120" s="4" t="n">
        <x:v>24778.01</x:v>
      </x:c>
      <x:c r="F120" s="5" t="n">
        <x:v>1927</x:v>
      </x:c>
      <x:c r="G120" s="4"/>
    </x:row>
    <x:row r="121" ht="22" customHeight="1">
      <x:c r="A121" s="1" t="str">
        <x:v>芯联科技店</x:v>
      </x:c>
      <x:c r="B121" s="1" t="str">
        <x:v>25Q4</x:v>
      </x:c>
      <x:c r="C121" s="4" t="n">
        <x:v>1675249</x:v>
      </x:c>
      <x:c r="D121" s="4" t="n">
        <x:v>222262.58</x:v>
      </x:c>
      <x:c r="E121" s="4" t="n">
        <x:v>72373.46</x:v>
      </x:c>
      <x:c r="F121" s="5" t="n">
        <x:v>4606</x:v>
      </x:c>
      <x:c r="G121" s="4"/>
    </x:row>
    <x:row r="122" ht="22" customHeight="1">
      <x:c r="A122" s="1" t="str">
        <x:v>芯联科技店</x:v>
      </x:c>
      <x:c r="B122" s="1" t="str">
        <x:v>26Q1</x:v>
      </x:c>
      <x:c r="C122" s="4" t="n">
        <x:v>1943953.76</x:v>
      </x:c>
      <x:c r="D122" s="4" t="n">
        <x:v>252346.23</x:v>
      </x:c>
      <x:c r="E122" s="4" t="n">
        <x:v>73877.97</x:v>
      </x:c>
      <x:c r="F122" s="5" t="n">
        <x:v>6083</x:v>
      </x:c>
      <x:c r="G122" s="4"/>
    </x:row>
    <x:row r="123" ht="22" customHeight="1">
      <x:c r="A123" s="1" t="str">
        <x:v>品胜严选</x:v>
      </x:c>
      <x:c r="B123" s="1" t="str">
        <x:v>25Q4</x:v>
      </x:c>
      <x:c r="C123" s="4" t="n">
        <x:v>907002.88</x:v>
      </x:c>
      <x:c r="D123" s="4" t="n">
        <x:v>125883.03</x:v>
      </x:c>
      <x:c r="E123" s="4" t="n">
        <x:v>35576.21</x:v>
      </x:c>
      <x:c r="F123" s="5" t="n">
        <x:v>2663</x:v>
      </x:c>
      <x:c r="G123" s="4"/>
    </x:row>
    <x:row r="124" ht="22" customHeight="1">
      <x:c r="A124" s="1" t="str">
        <x:v>品胜严选</x:v>
      </x:c>
      <x:c r="B124" s="1" t="str">
        <x:v>26Q1</x:v>
      </x:c>
      <x:c r="C124" s="4" t="n">
        <x:v>1088442.87</x:v>
      </x:c>
      <x:c r="D124" s="4" t="n">
        <x:v>150038.96</x:v>
      </x:c>
      <x:c r="E124" s="4" t="n">
        <x:v>43718.87</x:v>
      </x:c>
      <x:c r="F124" s="5" t="n">
        <x:v>3515</x:v>
      </x:c>
      <x:c r="G124" s="4"/>
    </x:row>
    <x:row r="125" ht="22" customHeight="1">
      <x:c r="A125" s="1" t="str">
        <x:v>智汇通数码</x:v>
      </x:c>
      <x:c r="B125" s="1" t="str">
        <x:v>25Q4</x:v>
      </x:c>
      <x:c r="C125" s="4" t="n">
        <x:v>1320445.28</x:v>
      </x:c>
      <x:c r="D125" s="4" t="n">
        <x:v>178342.54</x:v>
      </x:c>
      <x:c r="E125" s="4" t="n">
        <x:v>50651.41</x:v>
      </x:c>
      <x:c r="F125" s="5" t="n">
        <x:v>4284</x:v>
      </x:c>
      <x:c r="G125" s="4"/>
    </x:row>
    <x:row r="126" ht="22" customHeight="1">
      <x:c r="A126" s="1" t="str">
        <x:v>智汇通数码</x:v>
      </x:c>
      <x:c r="B126" s="1" t="str">
        <x:v>26Q1</x:v>
      </x:c>
      <x:c r="C126" s="4" t="n">
        <x:v>1486600.38</x:v>
      </x:c>
      <x:c r="D126" s="4" t="n">
        <x:v>176081.91</x:v>
      </x:c>
      <x:c r="E126" s="4" t="n">
        <x:v>58576.26</x:v>
      </x:c>
      <x:c r="F126" s="5" t="n">
        <x:v>4900</x:v>
      </x:c>
      <x:c r="G126" s="4"/>
    </x:row>
    <x:row r="127" ht="22" customHeight="1">
      <x:c r="A127" s="1" t="str">
        <x:v>乐购优品</x:v>
      </x:c>
      <x:c r="B127" s="1" t="str">
        <x:v>25Q4</x:v>
      </x:c>
      <x:c r="C127" s="4" t="n">
        <x:v>680265.6</x:v>
      </x:c>
      <x:c r="D127" s="4" t="n">
        <x:v>85092.05</x:v>
      </x:c>
      <x:c r="E127" s="4" t="n">
        <x:v>25669.12</x:v>
      </x:c>
      <x:c r="F127" s="5" t="n">
        <x:v>2037</x:v>
      </x:c>
      <x:c r="G127" s="4"/>
    </x:row>
    <x:row r="128" ht="22" customHeight="1">
      <x:c r="A128" s="1" t="str">
        <x:v>乐购优品</x:v>
      </x:c>
      <x:c r="B128" s="1" t="str">
        <x:v>26Q1</x:v>
      </x:c>
      <x:c r="C128" s="4" t="n">
        <x:v>817155.59</x:v>
      </x:c>
      <x:c r="D128" s="4" t="n">
        <x:v>105694.23</x:v>
      </x:c>
      <x:c r="E128" s="4" t="n">
        <x:v>34579.02</x:v>
      </x:c>
      <x:c r="F128" s="5" t="n">
        <x:v>2568</x:v>
      </x:c>
      <x:c r="G128" s="4"/>
    </x:row>
    <x:row r="129" ht="22" customHeight="1">
      <x:c r="A129" s="1" t="str">
        <x:v>汇鑫商贸</x:v>
      </x:c>
      <x:c r="B129" s="1" t="str">
        <x:v>25Q4</x:v>
      </x:c>
      <x:c r="C129" s="4" t="n">
        <x:v>1491325.92</x:v>
      </x:c>
      <x:c r="D129" s="4" t="n">
        <x:v>176529.15</x:v>
      </x:c>
      <x:c r="E129" s="4" t="n">
        <x:v>60641.07</x:v>
      </x:c>
      <x:c r="F129" s="5" t="n">
        <x:v>4575</x:v>
      </x:c>
      <x:c r="G129" s="4"/>
    </x:row>
    <x:row r="130" ht="22" customHeight="1">
      <x:c r="A130" s="1" t="str">
        <x:v>汇鑫商贸</x:v>
      </x:c>
      <x:c r="B130" s="1" t="str">
        <x:v>26Q1</x:v>
      </x:c>
      <x:c r="C130" s="4" t="n">
        <x:v>1535457.1</x:v>
      </x:c>
      <x:c r="D130" s="4" t="n">
        <x:v>206439.76</x:v>
      </x:c>
      <x:c r="E130" s="4" t="n">
        <x:v>62068.25</x:v>
      </x:c>
      <x:c r="F130" s="5" t="n">
        <x:v>4807</x:v>
      </x:c>
      <x:c r="G130" s="4"/>
    </x:row>
    <x:row r="131" ht="22" customHeight="1">
      <x:c r="A131" s="1" t="str">
        <x:v>凯瑞电商</x:v>
      </x:c>
      <x:c r="B131" s="1" t="str">
        <x:v>25Q4</x:v>
      </x:c>
      <x:c r="C131" s="4" t="n">
        <x:v>570636.8</x:v>
      </x:c>
      <x:c r="D131" s="4" t="n">
        <x:v>70775.59</x:v>
      </x:c>
      <x:c r="E131" s="4" t="n">
        <x:v>24293.48</x:v>
      </x:c>
      <x:c r="F131" s="5" t="n">
        <x:v>1702</x:v>
      </x:c>
      <x:c r="G131" s="4"/>
    </x:row>
    <x:row r="132" ht="22" customHeight="1">
      <x:c r="A132" s="1" t="str">
        <x:v>凯瑞电商</x:v>
      </x:c>
      <x:c r="B132" s="1" t="str">
        <x:v>26Q1</x:v>
      </x:c>
      <x:c r="C132" s="4" t="n">
        <x:v>650369.87</x:v>
      </x:c>
      <x:c r="D132" s="4" t="n">
        <x:v>85021.9</x:v>
      </x:c>
      <x:c r="E132" s="4" t="n">
        <x:v>27190.97</x:v>
      </x:c>
      <x:c r="F132" s="5" t="n">
        <x:v>2003</x:v>
      </x:c>
      <x:c r="G132" s="4"/>
    </x:row>
    <x:row r="133" ht="22" customHeight="1">
      <x:c r="A133" s="1" t="str">
        <x:v>尚品优选</x:v>
      </x:c>
      <x:c r="B133" s="1" t="str">
        <x:v>25Q4</x:v>
      </x:c>
      <x:c r="C133" s="4" t="n">
        <x:v>1582667.52</x:v>
      </x:c>
      <x:c r="D133" s="4" t="n">
        <x:v>195111.86</x:v>
      </x:c>
      <x:c r="E133" s="4" t="n">
        <x:v>60213.38</x:v>
      </x:c>
      <x:c r="F133" s="5" t="n">
        <x:v>5293</x:v>
      </x:c>
      <x:c r="G133" s="4"/>
    </x:row>
    <x:row r="134" ht="22" customHeight="1">
      <x:c r="A134" s="1" t="str">
        <x:v>尚品优选</x:v>
      </x:c>
      <x:c r="B134" s="1" t="str">
        <x:v>26Q1</x:v>
      </x:c>
      <x:c r="C134" s="4" t="n">
        <x:v>1722491.89</x:v>
      </x:c>
      <x:c r="D134" s="4" t="n">
        <x:v>214692.92</x:v>
      </x:c>
      <x:c r="E134" s="4" t="n">
        <x:v>70066.37</x:v>
      </x:c>
      <x:c r="F134" s="5" t="n">
        <x:v>5139</x:v>
      </x:c>
      <x:c r="G134" s="4"/>
    </x:row>
    <x:row r="135" ht="22" customHeight="1">
      <x:c r="A135" s="1" t="str">
        <x:v>环球数码城</x:v>
      </x:c>
      <x:c r="B135" s="1" t="str">
        <x:v>25Q4</x:v>
      </x:c>
      <x:c r="C135" s="4" t="n">
        <x:v>967736.64</x:v>
      </x:c>
      <x:c r="D135" s="4" t="n">
        <x:v>124197.55</x:v>
      </x:c>
      <x:c r="E135" s="4" t="n">
        <x:v>36402.01</x:v>
      </x:c>
      <x:c r="F135" s="5" t="n">
        <x:v>2890</x:v>
      </x:c>
      <x:c r="G135" s="4"/>
    </x:row>
    <x:row r="136" ht="22" customHeight="1">
      <x:c r="A136" s="1" t="str">
        <x:v>环球数码城</x:v>
      </x:c>
      <x:c r="B136" s="1" t="str">
        <x:v>26Q1</x:v>
      </x:c>
      <x:c r="C136" s="4" t="n">
        <x:v>1031593.49</x:v>
      </x:c>
      <x:c r="D136" s="4" t="n">
        <x:v>134733.91</x:v>
      </x:c>
      <x:c r="E136" s="4" t="n">
        <x:v>43913.56</x:v>
      </x:c>
      <x:c r="F136" s="5" t="n">
        <x:v>3055</x:v>
      </x:c>
      <x:c r="G136" s="4"/>
    </x:row>
    <x:row r="137" ht="22" customHeight="1">
      <x:c r="A137" s="1"/>
      <x:c r="B137" s="1"/>
      <x:c r="C137" s="1"/>
      <x:c r="D137" s="1"/>
      <x:c r="E137" s="1"/>
      <x:c r="F137" s="1"/>
      <x:c r="G137" s="1"/>
    </x:row>
    <x:row r="138" ht="22" customHeight="1">
      <x:c r="A138" s="1"/>
      <x:c r="B138" s="1"/>
      <x:c r="C138" s="1"/>
      <x:c r="D138" s="1"/>
      <x:c r="E138" s="1"/>
      <x:c r="F138" s="1"/>
      <x:c r="G138" s="1"/>
    </x:row>
    <x:row r="139" ht="22" customHeight="1">
      <x:c r="A139" s="1"/>
      <x:c r="B139" s="1"/>
      <x:c r="C139" s="1"/>
      <x:c r="D139" s="1"/>
      <x:c r="E139" s="1"/>
      <x:c r="F139" s="1"/>
      <x:c r="G139" s="1"/>
    </x:row>
    <x:row r="140" ht="22" customHeight="1">
      <x:c r="A140" s="1"/>
      <x:c r="B140" s="1"/>
      <x:c r="C140" s="1"/>
      <x:c r="D140" s="1"/>
      <x:c r="E140" s="1"/>
      <x:c r="F140" s="1"/>
      <x:c r="G14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3645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18" hidden="0" customWidth="1"/>
    <x:col min="7" max="7" width="18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</x:row>
    <x:row r="2" ht="22" customHeight="1">
      <x:c r="A2" s="2" t="str">
        <x:v>渠道回款季度对比</x:v>
      </x:c>
      <x:c r="B2" s="1"/>
      <x:c r="C2" s="1"/>
      <x:c r="D2" s="1"/>
      <x:c r="E2" s="1"/>
      <x:c r="F2" s="1"/>
      <x:c r="G2" s="1"/>
    </x:row>
    <x:row r="3" ht="22" customHeight="1">
      <x:c r="A3" s="3" t="str">
        <x:v>人民币元；增减 = 本期 − 基期，佣金率变化以百分点计。</x:v>
      </x:c>
      <x:c r="B3" s="3"/>
      <x:c r="C3" s="3"/>
      <x:c r="D3" s="3"/>
      <x:c r="E3" s="3"/>
      <x:c r="F3" s="3"/>
      <x:c r="G3" s="1"/>
    </x:row>
    <x:row r="4" ht="22" customHeight="1">
      <x:c r="A4" s="1"/>
      <x:c r="B4" s="1"/>
      <x:c r="C4" s="1"/>
      <x:c r="D4" s="1"/>
      <x:c r="E4" s="1"/>
      <x:c r="F4" s="1"/>
      <x:c r="G4" s="1"/>
    </x:row>
    <x:row r="5" ht="28" customHeight="1">
      <x:c r="A5" s="20" t="str">
        <x:v>渠道商</x:v>
      </x:c>
      <x:c r="B5" s="20" t="str">
        <x:v>指标</x:v>
      </x:c>
      <x:c r="C5" s="20" t="str">
        <x:v>2025 Q1</x:v>
      </x:c>
      <x:c r="D5" s="20" t="str">
        <x:v>2026 Q1</x:v>
      </x:c>
      <x:c r="E5" s="20" t="str">
        <x:v>增减</x:v>
      </x:c>
      <x:c r="F5" s="20" t="str">
        <x:v>单位</x:v>
      </x:c>
      <x:c r="G5" s="1"/>
    </x:row>
    <x:row r="6" ht="22" customHeight="1">
      <x:c r="A6" s="6" t="str">
        <x:v>星辰数码旗舰店</x:v>
      </x:c>
      <x:c r="B6" s="6" t="str">
        <x:v>GMV</x:v>
      </x:c>
      <x:c r="C6" s="7" t="n">
        <x:f>C97</x:f>
        <x:v>818169.52</x:v>
      </x:c>
      <x:c r="D6" s="7" t="n">
        <x:f>C98</x:f>
        <x:v>959942.18</x:v>
      </x:c>
      <x:c r="E6" s="7" t="n">
        <x:f>D6-C6</x:f>
        <x:v>141772.66000000003</x:v>
      </x:c>
      <x:c r="F6" s="6" t="str">
        <x:v>元</x:v>
      </x:c>
      <x:c r="G6" s="1"/>
    </x:row>
    <x:row r="7" ht="22" customHeight="1">
      <x:c r="A7" s="6" t="str">
        <x:v>星辰数码旗舰店</x:v>
      </x:c>
      <x:c r="B7" s="6" t="str">
        <x:v>营收</x:v>
      </x:c>
      <x:c r="C7" s="7" t="n">
        <x:f>D97</x:f>
        <x:v>116145.77</x:v>
      </x:c>
      <x:c r="D7" s="7" t="n">
        <x:f>D98</x:f>
        <x:v>126365.59</x:v>
      </x:c>
      <x:c r="E7" s="7" t="n">
        <x:f>D7-C7</x:f>
        <x:v>10219.819999999992</x:v>
      </x:c>
      <x:c r="F7" s="6" t="str">
        <x:v>元</x:v>
      </x:c>
      <x:c r="G7" s="1"/>
    </x:row>
    <x:row r="8" ht="22" customHeight="1">
      <x:c r="A8" s="6" t="str">
        <x:v>星辰数码旗舰店</x:v>
      </x:c>
      <x:c r="B8" s="6" t="str">
        <x:v>B端收益</x:v>
      </x:c>
      <x:c r="C8" s="7" t="n">
        <x:f>E97+F97</x:f>
        <x:v>30583.34</x:v>
      </x:c>
      <x:c r="D8" s="7" t="n">
        <x:f>E98+F98</x:f>
        <x:v>36254.33</x:v>
      </x:c>
      <x:c r="E8" s="7" t="n">
        <x:f>D8-C8</x:f>
        <x:v>5670.990000000002</x:v>
      </x:c>
      <x:c r="F8" s="6" t="str">
        <x:v>元</x:v>
      </x:c>
      <x:c r="G8" s="1"/>
    </x:row>
    <x:row r="9" ht="22" customHeight="1">
      <x:c r="A9" s="6" t="str">
        <x:v>星辰数码旗舰店</x:v>
      </x:c>
      <x:c r="B9" s="6" t="str">
        <x:v>人数</x:v>
      </x:c>
      <x:c r="C9" s="9" t="n">
        <x:f>G97</x:f>
        <x:v>106</x:v>
      </x:c>
      <x:c r="D9" s="9" t="n">
        <x:f>G98</x:f>
        <x:v>92</x:v>
      </x:c>
      <x:c r="E9" s="9" t="n">
        <x:f>D9-C9</x:f>
        <x:v>-14</x:v>
      </x:c>
      <x:c r="F9" s="6" t="str">
        <x:v>人</x:v>
      </x:c>
      <x:c r="G9" s="1"/>
    </x:row>
    <x:row r="10" ht="22" customHeight="1">
      <x:c r="A10" s="1" t="str">
        <x:v>云端优品专营</x:v>
      </x:c>
      <x:c r="B10" s="1" t="str">
        <x:v>GMV</x:v>
      </x:c>
      <x:c r="C10" s="8" t="n">
        <x:f>C99</x:f>
        <x:v>550054.08</x:v>
      </x:c>
      <x:c r="D10" s="8" t="n">
        <x:f>C100</x:f>
        <x:v>678042.59</x:v>
      </x:c>
      <x:c r="E10" s="8" t="n">
        <x:f>D10-C10</x:f>
        <x:v>127988.51000000001</x:v>
      </x:c>
      <x:c r="F10" s="1" t="str">
        <x:v>元</x:v>
      </x:c>
      <x:c r="G10" s="1"/>
    </x:row>
    <x:row r="11" ht="22" customHeight="1">
      <x:c r="A11" s="1" t="str">
        <x:v>云端优品专营</x:v>
      </x:c>
      <x:c r="B11" s="1" t="str">
        <x:v>营收</x:v>
      </x:c>
      <x:c r="C11" s="8" t="n">
        <x:f>D99</x:f>
        <x:v>77240.91</x:v>
      </x:c>
      <x:c r="D11" s="8" t="n">
        <x:f>D100</x:f>
        <x:v>90426.17</x:v>
      </x:c>
      <x:c r="E11" s="8" t="n">
        <x:f>D11-C11</x:f>
        <x:v>13185.259999999995</x:v>
      </x:c>
      <x:c r="F11" s="1" t="str">
        <x:v>元</x:v>
      </x:c>
      <x:c r="G11" s="1"/>
    </x:row>
    <x:row r="12" ht="22" customHeight="1">
      <x:c r="A12" s="1" t="str">
        <x:v>云端优品专营</x:v>
      </x:c>
      <x:c r="B12" s="1" t="str">
        <x:v>B端收益</x:v>
      </x:c>
      <x:c r="C12" s="8" t="n">
        <x:f>E99+F99</x:f>
        <x:v>19873.57</x:v>
      </x:c>
      <x:c r="D12" s="8" t="n">
        <x:f>E100+F100</x:f>
        <x:v>27674.88</x:v>
      </x:c>
      <x:c r="E12" s="8" t="n">
        <x:f>D12-C12</x:f>
        <x:v>7801.310000000001</x:v>
      </x:c>
      <x:c r="F12" s="1" t="str">
        <x:v>元</x:v>
      </x:c>
      <x:c r="G12" s="1"/>
    </x:row>
    <x:row r="13" ht="22" customHeight="1">
      <x:c r="A13" s="1" t="str">
        <x:v>云端优品专营</x:v>
      </x:c>
      <x:c r="B13" s="1" t="str">
        <x:v>人数</x:v>
      </x:c>
      <x:c r="C13" s="12" t="n">
        <x:f>G99</x:f>
        <x:v>98</x:v>
      </x:c>
      <x:c r="D13" s="12" t="n">
        <x:f>G100</x:f>
        <x:v>103</x:v>
      </x:c>
      <x:c r="E13" s="12" t="n">
        <x:f>D13-C13</x:f>
        <x:v>5</x:v>
      </x:c>
      <x:c r="F13" s="1" t="str">
        <x:v>人</x:v>
      </x:c>
      <x:c r="G13" s="1"/>
    </x:row>
    <x:row r="14" ht="22" customHeight="1">
      <x:c r="A14" s="6" t="str">
        <x:v>锦绣生活馆</x:v>
      </x:c>
      <x:c r="B14" s="6" t="str">
        <x:v>GMV</x:v>
      </x:c>
      <x:c r="C14" s="7" t="n">
        <x:f>C101</x:f>
        <x:v>1015101.6</x:v>
      </x:c>
      <x:c r="D14" s="7" t="n">
        <x:f>C102</x:f>
        <x:v>1434896.52</x:v>
      </x:c>
      <x:c r="E14" s="7" t="n">
        <x:f>D14-C14</x:f>
        <x:v>419794.92000000004</x:v>
      </x:c>
      <x:c r="F14" s="6" t="str">
        <x:v>元</x:v>
      </x:c>
      <x:c r="G14" s="1"/>
    </x:row>
    <x:row r="15" ht="22" customHeight="1">
      <x:c r="A15" s="6" t="str">
        <x:v>锦绣生活馆</x:v>
      </x:c>
      <x:c r="B15" s="6" t="str">
        <x:v>营收</x:v>
      </x:c>
      <x:c r="C15" s="7" t="n">
        <x:f>D101</x:f>
        <x:v>144587.89</x:v>
      </x:c>
      <x:c r="D15" s="7" t="n">
        <x:f>D102</x:f>
        <x:v>198502.64</x:v>
      </x:c>
      <x:c r="E15" s="7" t="n">
        <x:f>D15-C15</x:f>
        <x:v>53914.75</x:v>
      </x:c>
      <x:c r="F15" s="6" t="str">
        <x:v>元</x:v>
      </x:c>
      <x:c r="G15" s="1"/>
    </x:row>
    <x:row r="16" ht="22" customHeight="1">
      <x:c r="A16" s="6" t="str">
        <x:v>锦绣生活馆</x:v>
      </x:c>
      <x:c r="B16" s="6" t="str">
        <x:v>B端收益</x:v>
      </x:c>
      <x:c r="C16" s="7" t="n">
        <x:f>E101+F101</x:f>
        <x:v>41061.58</x:v>
      </x:c>
      <x:c r="D16" s="7" t="n">
        <x:f>E102+F102</x:f>
        <x:v>52866.3</x:v>
      </x:c>
      <x:c r="E16" s="7" t="n">
        <x:f>D16-C16</x:f>
        <x:v>11804.720000000001</x:v>
      </x:c>
      <x:c r="F16" s="6" t="str">
        <x:v>元</x:v>
      </x:c>
      <x:c r="G16" s="1"/>
    </x:row>
    <x:row r="17" ht="22" customHeight="1">
      <x:c r="A17" s="6" t="str">
        <x:v>锦绣生活馆</x:v>
      </x:c>
      <x:c r="B17" s="6" t="str">
        <x:v>人数</x:v>
      </x:c>
      <x:c r="C17" s="9" t="n">
        <x:f>G101</x:f>
        <x:v>78</x:v>
      </x:c>
      <x:c r="D17" s="9" t="n">
        <x:f>G102</x:f>
        <x:v>90</x:v>
      </x:c>
      <x:c r="E17" s="9" t="n">
        <x:f>D17-C17</x:f>
        <x:v>12</x:v>
      </x:c>
      <x:c r="F17" s="6" t="str">
        <x:v>人</x:v>
      </x:c>
      <x:c r="G17" s="1"/>
    </x:row>
    <x:row r="18" ht="22" customHeight="1">
      <x:c r="A18" s="1" t="str">
        <x:v>蓝海科技直营</x:v>
      </x:c>
      <x:c r="B18" s="1" t="str">
        <x:v>GMV</x:v>
      </x:c>
      <x:c r="C18" s="8" t="n">
        <x:f>C103</x:f>
        <x:v>437601.15</x:v>
      </x:c>
      <x:c r="D18" s="8" t="n">
        <x:f>C104</x:f>
        <x:v>543675.32</x:v>
      </x:c>
      <x:c r="E18" s="8" t="n">
        <x:f>D18-C18</x:f>
        <x:v>106074.16999999993</x:v>
      </x:c>
      <x:c r="F18" s="1" t="str">
        <x:v>元</x:v>
      </x:c>
      <x:c r="G18" s="1"/>
    </x:row>
    <x:row r="19" ht="22" customHeight="1">
      <x:c r="A19" s="1" t="str">
        <x:v>蓝海科技直营</x:v>
      </x:c>
      <x:c r="B19" s="1" t="str">
        <x:v>营收</x:v>
      </x:c>
      <x:c r="C19" s="8" t="n">
        <x:f>D103</x:f>
        <x:v>56872.45</x:v>
      </x:c>
      <x:c r="D19" s="8" t="n">
        <x:f>D104</x:f>
        <x:v>74624.45</x:v>
      </x:c>
      <x:c r="E19" s="8" t="n">
        <x:f>D19-C19</x:f>
        <x:v>17752</x:v>
      </x:c>
      <x:c r="F19" s="1" t="str">
        <x:v>元</x:v>
      </x:c>
      <x:c r="G19" s="1"/>
    </x:row>
    <x:row r="20" ht="22" customHeight="1">
      <x:c r="A20" s="1" t="str">
        <x:v>蓝海科技直营</x:v>
      </x:c>
      <x:c r="B20" s="1" t="str">
        <x:v>B端收益</x:v>
      </x:c>
      <x:c r="C20" s="8" t="n">
        <x:f>E103+F103</x:f>
        <x:v>14674.880000000001</x:v>
      </x:c>
      <x:c r="D20" s="8" t="n">
        <x:f>E104+F104</x:f>
        <x:v>21711.85</x:v>
      </x:c>
      <x:c r="E20" s="8" t="n">
        <x:f>D20-C20</x:f>
        <x:v>7036.9699999999975</x:v>
      </x:c>
      <x:c r="F20" s="1" t="str">
        <x:v>元</x:v>
      </x:c>
      <x:c r="G20" s="1"/>
    </x:row>
    <x:row r="21" ht="22" customHeight="1">
      <x:c r="A21" s="1" t="str">
        <x:v>蓝海科技直营</x:v>
      </x:c>
      <x:c r="B21" s="1" t="str">
        <x:v>人数</x:v>
      </x:c>
      <x:c r="C21" s="12" t="n">
        <x:f>G103</x:f>
        <x:v>109</x:v>
      </x:c>
      <x:c r="D21" s="12" t="n">
        <x:f>G104</x:f>
        <x:v>106</x:v>
      </x:c>
      <x:c r="E21" s="12" t="n">
        <x:f>D21-C21</x:f>
        <x:v>-3</x:v>
      </x:c>
      <x:c r="F21" s="1" t="str">
        <x:v>人</x:v>
      </x:c>
      <x:c r="G21" s="1"/>
    </x:row>
    <x:row r="22" ht="22" customHeight="1">
      <x:c r="A22" s="6" t="str">
        <x:v>万家好物联盟</x:v>
      </x:c>
      <x:c r="B22" s="6" t="str">
        <x:v>GMV</x:v>
      </x:c>
      <x:c r="C22" s="7" t="n">
        <x:f>C105</x:f>
        <x:v>1332494.88</x:v>
      </x:c>
      <x:c r="D22" s="7" t="n">
        <x:f>C106</x:f>
        <x:v>1634261.11</x:v>
      </x:c>
      <x:c r="E22" s="7" t="n">
        <x:f>D22-C22</x:f>
        <x:v>301766.2300000002</x:v>
      </x:c>
      <x:c r="F22" s="6" t="str">
        <x:v>元</x:v>
      </x:c>
      <x:c r="G22" s="1"/>
    </x:row>
    <x:row r="23" ht="22" customHeight="1">
      <x:c r="A23" s="6" t="str">
        <x:v>万家好物联盟</x:v>
      </x:c>
      <x:c r="B23" s="6" t="str">
        <x:v>营收</x:v>
      </x:c>
      <x:c r="C23" s="7" t="n">
        <x:f>D105</x:f>
        <x:v>178751.32</x:v>
      </x:c>
      <x:c r="D23" s="7" t="n">
        <x:f>D106</x:f>
        <x:v>201997.85</x:v>
      </x:c>
      <x:c r="E23" s="7" t="n">
        <x:f>D23-C23</x:f>
        <x:v>23246.53</x:v>
      </x:c>
      <x:c r="F23" s="6" t="str">
        <x:v>元</x:v>
      </x:c>
      <x:c r="G23" s="1"/>
    </x:row>
    <x:row r="24" ht="22" customHeight="1">
      <x:c r="A24" s="6" t="str">
        <x:v>万家好物联盟</x:v>
      </x:c>
      <x:c r="B24" s="6" t="str">
        <x:v>B端收益</x:v>
      </x:c>
      <x:c r="C24" s="7" t="n">
        <x:f>E105+F105</x:f>
        <x:v>46016.380000000005</x:v>
      </x:c>
      <x:c r="D24" s="7" t="n">
        <x:f>E106+F106</x:f>
        <x:v>59443.25</x:v>
      </x:c>
      <x:c r="E24" s="7" t="n">
        <x:f>D24-C24</x:f>
        <x:v>13426.869999999995</x:v>
      </x:c>
      <x:c r="F24" s="6" t="str">
        <x:v>元</x:v>
      </x:c>
      <x:c r="G24" s="1"/>
    </x:row>
    <x:row r="25" ht="22" customHeight="1">
      <x:c r="A25" s="6" t="str">
        <x:v>万家好物联盟</x:v>
      </x:c>
      <x:c r="B25" s="6" t="str">
        <x:v>人数</x:v>
      </x:c>
      <x:c r="C25" s="9" t="n">
        <x:f>G105</x:f>
        <x:v>97</x:v>
      </x:c>
      <x:c r="D25" s="9" t="n">
        <x:f>G106</x:f>
        <x:v>101</x:v>
      </x:c>
      <x:c r="E25" s="9" t="n">
        <x:f>D25-C25</x:f>
        <x:v>4</x:v>
      </x:c>
      <x:c r="F25" s="6" t="str">
        <x:v>人</x:v>
      </x:c>
      <x:c r="G25" s="1"/>
    </x:row>
    <x:row r="26" ht="22" customHeight="1">
      <x:c r="A26" s="1" t="str">
        <x:v>鼎盛电子渠道</x:v>
      </x:c>
      <x:c r="B26" s="1" t="str">
        <x:v>GMV</x:v>
      </x:c>
      <x:c r="C26" s="8" t="n">
        <x:f>C107</x:f>
        <x:v>766050.5</x:v>
      </x:c>
      <x:c r="D26" s="8" t="n">
        <x:f>C108</x:f>
        <x:v>923536.41</x:v>
      </x:c>
      <x:c r="E26" s="8" t="n">
        <x:f>D26-C26</x:f>
        <x:v>157485.91000000003</x:v>
      </x:c>
      <x:c r="F26" s="1" t="str">
        <x:v>元</x:v>
      </x:c>
      <x:c r="G26" s="1"/>
    </x:row>
    <x:row r="27" ht="22" customHeight="1">
      <x:c r="A27" s="1" t="str">
        <x:v>鼎盛电子渠道</x:v>
      </x:c>
      <x:c r="B27" s="1" t="str">
        <x:v>营收</x:v>
      </x:c>
      <x:c r="C27" s="8" t="n">
        <x:f>D107</x:f>
        <x:v>95540.93</x:v>
      </x:c>
      <x:c r="D27" s="8" t="n">
        <x:f>D108</x:f>
        <x:v>124596.45</x:v>
      </x:c>
      <x:c r="E27" s="8" t="n">
        <x:f>D27-C27</x:f>
        <x:v>29055.520000000004</x:v>
      </x:c>
      <x:c r="F27" s="1" t="str">
        <x:v>元</x:v>
      </x:c>
      <x:c r="G27" s="1"/>
    </x:row>
    <x:row r="28" ht="22" customHeight="1">
      <x:c r="A28" s="1" t="str">
        <x:v>鼎盛电子渠道</x:v>
      </x:c>
      <x:c r="B28" s="1" t="str">
        <x:v>B端收益</x:v>
      </x:c>
      <x:c r="C28" s="8" t="n">
        <x:f>E107+F107</x:f>
        <x:v>28010.33</x:v>
      </x:c>
      <x:c r="D28" s="8" t="n">
        <x:f>E108+F108</x:f>
        <x:v>36680.05</x:v>
      </x:c>
      <x:c r="E28" s="8" t="n">
        <x:f>D28-C28</x:f>
        <x:v>8669.720000000001</x:v>
      </x:c>
      <x:c r="F28" s="1" t="str">
        <x:v>元</x:v>
      </x:c>
      <x:c r="G28" s="1"/>
    </x:row>
    <x:row r="29" ht="22" customHeight="1">
      <x:c r="A29" s="1" t="str">
        <x:v>鼎盛电子渠道</x:v>
      </x:c>
      <x:c r="B29" s="1" t="str">
        <x:v>人数</x:v>
      </x:c>
      <x:c r="C29" s="12" t="n">
        <x:f>G107</x:f>
        <x:v>105</x:v>
      </x:c>
      <x:c r="D29" s="12" t="n">
        <x:f>G108</x:f>
        <x:v>109</x:v>
      </x:c>
      <x:c r="E29" s="12" t="n">
        <x:f>D29-C29</x:f>
        <x:v>4</x:v>
      </x:c>
      <x:c r="F29" s="1" t="str">
        <x:v>人</x:v>
      </x:c>
      <x:c r="G29" s="1"/>
    </x:row>
    <x:row r="30" ht="22" customHeight="1">
      <x:c r="A30" s="6" t="str">
        <x:v>金桥百货在线</x:v>
      </x:c>
      <x:c r="B30" s="6" t="str">
        <x:v>GMV</x:v>
      </x:c>
      <x:c r="C30" s="7" t="n">
        <x:f>C109</x:f>
        <x:v>954038.75</x:v>
      </x:c>
      <x:c r="D30" s="7" t="n">
        <x:f>C110</x:f>
        <x:v>1061096.13</x:v>
      </x:c>
      <x:c r="E30" s="7" t="n">
        <x:f>D30-C30</x:f>
        <x:v>107057.37999999989</x:v>
      </x:c>
      <x:c r="F30" s="6" t="str">
        <x:v>元</x:v>
      </x:c>
      <x:c r="G30" s="1"/>
    </x:row>
    <x:row r="31" ht="22" customHeight="1">
      <x:c r="A31" s="6" t="str">
        <x:v>金桥百货在线</x:v>
      </x:c>
      <x:c r="B31" s="6" t="str">
        <x:v>营收</x:v>
      </x:c>
      <x:c r="C31" s="7" t="n">
        <x:f>D109</x:f>
        <x:v>125908.98</x:v>
      </x:c>
      <x:c r="D31" s="7" t="n">
        <x:f>D110</x:f>
        <x:v>143789.05</x:v>
      </x:c>
      <x:c r="E31" s="7" t="n">
        <x:f>D31-C31</x:f>
        <x:v>17880.069999999992</x:v>
      </x:c>
      <x:c r="F31" s="6" t="str">
        <x:v>元</x:v>
      </x:c>
      <x:c r="G31" s="1"/>
    </x:row>
    <x:row r="32" ht="22" customHeight="1">
      <x:c r="A32" s="6" t="str">
        <x:v>金桥百货在线</x:v>
      </x:c>
      <x:c r="B32" s="6" t="str">
        <x:v>B端收益</x:v>
      </x:c>
      <x:c r="C32" s="7" t="n">
        <x:f>E109+F109</x:f>
        <x:v>38936.57</x:v>
      </x:c>
      <x:c r="D32" s="7" t="n">
        <x:f>E110+F110</x:f>
        <x:v>39923.67</x:v>
      </x:c>
      <x:c r="E32" s="7" t="n">
        <x:f>D32-C32</x:f>
        <x:v>987.0999999999985</x:v>
      </x:c>
      <x:c r="F32" s="6" t="str">
        <x:v>元</x:v>
      </x:c>
      <x:c r="G32" s="1"/>
    </x:row>
    <x:row r="33" ht="22" customHeight="1">
      <x:c r="A33" s="6" t="str">
        <x:v>金桥百货在线</x:v>
      </x:c>
      <x:c r="B33" s="6" t="str">
        <x:v>人数</x:v>
      </x:c>
      <x:c r="C33" s="9" t="n">
        <x:f>G109</x:f>
        <x:v>95</x:v>
      </x:c>
      <x:c r="D33" s="9" t="n">
        <x:f>G110</x:f>
        <x:v>103</x:v>
      </x:c>
      <x:c r="E33" s="9" t="n">
        <x:f>D33-C33</x:f>
        <x:v>8</x:v>
      </x:c>
      <x:c r="F33" s="6" t="str">
        <x:v>人</x:v>
      </x:c>
      <x:c r="G33" s="1"/>
    </x:row>
    <x:row r="34" ht="22" customHeight="1">
      <x:c r="A34" s="1" t="str">
        <x:v>翠微精选商城</x:v>
      </x:c>
      <x:c r="B34" s="1" t="str">
        <x:v>GMV</x:v>
      </x:c>
      <x:c r="C34" s="8" t="n">
        <x:f>C111</x:f>
        <x:v>281128.7</x:v>
      </x:c>
      <x:c r="D34" s="8" t="n">
        <x:f>C112</x:f>
        <x:v>328274.25</x:v>
      </x:c>
      <x:c r="E34" s="8" t="n">
        <x:f>D34-C34</x:f>
        <x:v>47145.54999999999</x:v>
      </x:c>
      <x:c r="F34" s="1" t="str">
        <x:v>元</x:v>
      </x:c>
      <x:c r="G34" s="1"/>
    </x:row>
    <x:row r="35" ht="22" customHeight="1">
      <x:c r="A35" s="1" t="str">
        <x:v>翠微精选商城</x:v>
      </x:c>
      <x:c r="B35" s="1" t="str">
        <x:v>营收</x:v>
      </x:c>
      <x:c r="C35" s="8" t="n">
        <x:f>D111</x:f>
        <x:v>38056.74</x:v>
      </x:c>
      <x:c r="D35" s="8" t="n">
        <x:f>D112</x:f>
        <x:v>45143.6</x:v>
      </x:c>
      <x:c r="E35" s="8" t="n">
        <x:f>D35-C35</x:f>
        <x:v>7086.860000000001</x:v>
      </x:c>
      <x:c r="F35" s="1" t="str">
        <x:v>元</x:v>
      </x:c>
      <x:c r="G35" s="1"/>
    </x:row>
    <x:row r="36" ht="22" customHeight="1">
      <x:c r="A36" s="1" t="str">
        <x:v>翠微精选商城</x:v>
      </x:c>
      <x:c r="B36" s="1" t="str">
        <x:v>B端收益</x:v>
      </x:c>
      <x:c r="C36" s="8" t="n">
        <x:f>E111+F111</x:f>
        <x:v>10071.89</x:v>
      </x:c>
      <x:c r="D36" s="8" t="n">
        <x:f>E112+F112</x:f>
        <x:v>13035.239999999998</x:v>
      </x:c>
      <x:c r="E36" s="8" t="n">
        <x:f>D36-C36</x:f>
        <x:v>2963.3499999999985</x:v>
      </x:c>
      <x:c r="F36" s="1" t="str">
        <x:v>元</x:v>
      </x:c>
      <x:c r="G36" s="1"/>
    </x:row>
    <x:row r="37" ht="22" customHeight="1">
      <x:c r="A37" s="1" t="str">
        <x:v>翠微精选商城</x:v>
      </x:c>
      <x:c r="B37" s="1" t="str">
        <x:v>人数</x:v>
      </x:c>
      <x:c r="C37" s="12" t="n">
        <x:f>G111</x:f>
        <x:v>109</x:v>
      </x:c>
      <x:c r="D37" s="12" t="n">
        <x:f>G112</x:f>
        <x:v>104</x:v>
      </x:c>
      <x:c r="E37" s="12" t="n">
        <x:f>D37-C37</x:f>
        <x:v>-5</x:v>
      </x:c>
      <x:c r="F37" s="1" t="str">
        <x:v>人</x:v>
      </x:c>
      <x:c r="G37" s="1"/>
    </x:row>
    <x:row r="38" ht="22" customHeight="1">
      <x:c r="A38" s="6" t="str">
        <x:v>优享全球购</x:v>
      </x:c>
      <x:c r="B38" s="6" t="str">
        <x:v>GMV</x:v>
      </x:c>
      <x:c r="C38" s="7" t="n">
        <x:f>C113</x:f>
        <x:v>1580919.6</x:v>
      </x:c>
      <x:c r="D38" s="7" t="n">
        <x:f>C114</x:f>
        <x:v>1845184.19</x:v>
      </x:c>
      <x:c r="E38" s="7" t="n">
        <x:f>D38-C38</x:f>
        <x:v>264264.58999999985</x:v>
      </x:c>
      <x:c r="F38" s="6" t="str">
        <x:v>元</x:v>
      </x:c>
      <x:c r="G38" s="1"/>
    </x:row>
    <x:row r="39" ht="22" customHeight="1">
      <x:c r="A39" s="6" t="str">
        <x:v>优享全球购</x:v>
      </x:c>
      <x:c r="B39" s="6" t="str">
        <x:v>营收</x:v>
      </x:c>
      <x:c r="C39" s="7" t="n">
        <x:f>D113</x:f>
        <x:v>210077.47</x:v>
      </x:c>
      <x:c r="D39" s="7" t="n">
        <x:f>D114</x:f>
        <x:v>243745.97</x:v>
      </x:c>
      <x:c r="E39" s="7" t="n">
        <x:f>D39-C39</x:f>
        <x:v>33668.5</x:v>
      </x:c>
      <x:c r="F39" s="6" t="str">
        <x:v>元</x:v>
      </x:c>
      <x:c r="G39" s="1"/>
    </x:row>
    <x:row r="40" ht="22" customHeight="1">
      <x:c r="A40" s="6" t="str">
        <x:v>优享全球购</x:v>
      </x:c>
      <x:c r="B40" s="6" t="str">
        <x:v>B端收益</x:v>
      </x:c>
      <x:c r="C40" s="7" t="n">
        <x:f>E113+F113</x:f>
        <x:v>56756.72</x:v>
      </x:c>
      <x:c r="D40" s="7" t="n">
        <x:f>E114+F114</x:f>
        <x:v>76374.06999999999</x:v>
      </x:c>
      <x:c r="E40" s="7" t="n">
        <x:f>D40-C40</x:f>
        <x:v>19617.34999999999</x:v>
      </x:c>
      <x:c r="F40" s="6" t="str">
        <x:v>元</x:v>
      </x:c>
      <x:c r="G40" s="1"/>
    </x:row>
    <x:row r="41" ht="22" customHeight="1">
      <x:c r="A41" s="6" t="str">
        <x:v>优享全球购</x:v>
      </x:c>
      <x:c r="B41" s="6" t="str">
        <x:v>人数</x:v>
      </x:c>
      <x:c r="C41" s="9" t="n">
        <x:f>G113</x:f>
        <x:v>94</x:v>
      </x:c>
      <x:c r="D41" s="9" t="n">
        <x:f>G114</x:f>
        <x:v>86</x:v>
      </x:c>
      <x:c r="E41" s="9" t="n">
        <x:f>D41-C41</x:f>
        <x:v>-8</x:v>
      </x:c>
      <x:c r="F41" s="6" t="str">
        <x:v>人</x:v>
      </x:c>
      <x:c r="G41" s="1"/>
    </x:row>
    <x:row r="42" ht="22" customHeight="1">
      <x:c r="A42" s="1" t="str">
        <x:v>盛世优选</x:v>
      </x:c>
      <x:c r="B42" s="1" t="str">
        <x:v>GMV</x:v>
      </x:c>
      <x:c r="C42" s="8" t="n">
        <x:f>C115</x:f>
        <x:v>538090.4</x:v>
      </x:c>
      <x:c r="D42" s="8" t="n">
        <x:f>C116</x:f>
        <x:v>694972.09</x:v>
      </x:c>
      <x:c r="E42" s="8" t="n">
        <x:f>D42-C42</x:f>
        <x:v>156881.68999999994</x:v>
      </x:c>
      <x:c r="F42" s="1" t="str">
        <x:v>元</x:v>
      </x:c>
      <x:c r="G42" s="1"/>
    </x:row>
    <x:row r="43" ht="22" customHeight="1">
      <x:c r="A43" s="1" t="str">
        <x:v>盛世优选</x:v>
      </x:c>
      <x:c r="B43" s="1" t="str">
        <x:v>营收</x:v>
      </x:c>
      <x:c r="C43" s="8" t="n">
        <x:f>D115</x:f>
        <x:v>68218.24</x:v>
      </x:c>
      <x:c r="D43" s="8" t="n">
        <x:f>D116</x:f>
        <x:v>91307.58</x:v>
      </x:c>
      <x:c r="E43" s="8" t="n">
        <x:f>D43-C43</x:f>
        <x:v>23089.339999999997</x:v>
      </x:c>
      <x:c r="F43" s="1" t="str">
        <x:v>元</x:v>
      </x:c>
      <x:c r="G43" s="1"/>
    </x:row>
    <x:row r="44" ht="22" customHeight="1">
      <x:c r="A44" s="1" t="str">
        <x:v>盛世优选</x:v>
      </x:c>
      <x:c r="B44" s="1" t="str">
        <x:v>B端收益</x:v>
      </x:c>
      <x:c r="C44" s="8" t="n">
        <x:f>E115+F115</x:f>
        <x:v>23373.73</x:v>
      </x:c>
      <x:c r="D44" s="8" t="n">
        <x:f>E116+F116</x:f>
        <x:v>26383.14</x:v>
      </x:c>
      <x:c r="E44" s="8" t="n">
        <x:f>D44-C44</x:f>
        <x:v>3009.41</x:v>
      </x:c>
      <x:c r="F44" s="1" t="str">
        <x:v>元</x:v>
      </x:c>
      <x:c r="G44" s="1"/>
    </x:row>
    <x:row r="45" ht="22" customHeight="1">
      <x:c r="A45" s="1" t="str">
        <x:v>盛世优选</x:v>
      </x:c>
      <x:c r="B45" s="1" t="str">
        <x:v>人数</x:v>
      </x:c>
      <x:c r="C45" s="12" t="n">
        <x:f>G115</x:f>
        <x:v>108</x:v>
      </x:c>
      <x:c r="D45" s="12" t="n">
        <x:f>G116</x:f>
        <x:v>104</x:v>
      </x:c>
      <x:c r="E45" s="12" t="n">
        <x:f>D45-C45</x:f>
        <x:v>-4</x:v>
      </x:c>
      <x:c r="F45" s="1" t="str">
        <x:v>人</x:v>
      </x:c>
      <x:c r="G45" s="1"/>
    </x:row>
    <x:row r="46" ht="22" customHeight="1">
      <x:c r="A46" s="6" t="str">
        <x:v>天际数码港</x:v>
      </x:c>
      <x:c r="B46" s="6" t="str">
        <x:v>GMV</x:v>
      </x:c>
      <x:c r="C46" s="7" t="n">
        <x:f>C117</x:f>
        <x:v>825243.3</x:v>
      </x:c>
      <x:c r="D46" s="7" t="n">
        <x:f>C118</x:f>
        <x:v>966769.03</x:v>
      </x:c>
      <x:c r="E46" s="7" t="n">
        <x:f>D46-C46</x:f>
        <x:v>141525.72999999998</x:v>
      </x:c>
      <x:c r="F46" s="6" t="str">
        <x:v>元</x:v>
      </x:c>
      <x:c r="G46" s="1"/>
    </x:row>
    <x:row r="47" ht="22" customHeight="1">
      <x:c r="A47" s="6" t="str">
        <x:v>天际数码港</x:v>
      </x:c>
      <x:c r="B47" s="6" t="str">
        <x:v>营收</x:v>
      </x:c>
      <x:c r="C47" s="7" t="n">
        <x:f>D117</x:f>
        <x:v>104024.1</x:v>
      </x:c>
      <x:c r="D47" s="7" t="n">
        <x:f>D118</x:f>
        <x:v>138232.7</x:v>
      </x:c>
      <x:c r="E47" s="7" t="n">
        <x:f>D47-C47</x:f>
        <x:v>34208.600000000006</x:v>
      </x:c>
      <x:c r="F47" s="6" t="str">
        <x:v>元</x:v>
      </x:c>
      <x:c r="G47" s="1"/>
    </x:row>
    <x:row r="48" ht="22" customHeight="1">
      <x:c r="A48" s="6" t="str">
        <x:v>天际数码港</x:v>
      </x:c>
      <x:c r="B48" s="6" t="str">
        <x:v>B端收益</x:v>
      </x:c>
      <x:c r="C48" s="7" t="n">
        <x:f>E117+F117</x:f>
        <x:v>30751.02</x:v>
      </x:c>
      <x:c r="D48" s="7" t="n">
        <x:f>E118+F118</x:f>
        <x:v>34488.82</x:v>
      </x:c>
      <x:c r="E48" s="7" t="n">
        <x:f>D48-C48</x:f>
        <x:v>3737.7999999999993</x:v>
      </x:c>
      <x:c r="F48" s="6" t="str">
        <x:v>元</x:v>
      </x:c>
      <x:c r="G48" s="1"/>
    </x:row>
    <x:row r="49" ht="22" customHeight="1">
      <x:c r="A49" s="6" t="str">
        <x:v>天际数码港</x:v>
      </x:c>
      <x:c r="B49" s="6" t="str">
        <x:v>人数</x:v>
      </x:c>
      <x:c r="C49" s="9" t="n">
        <x:f>G117</x:f>
        <x:v>100</x:v>
      </x:c>
      <x:c r="D49" s="9" t="n">
        <x:f>G118</x:f>
        <x:v>99</x:v>
      </x:c>
      <x:c r="E49" s="9" t="n">
        <x:f>D49-C49</x:f>
        <x:v>-1</x:v>
      </x:c>
      <x:c r="F49" s="6" t="str">
        <x:v>人</x:v>
      </x:c>
      <x:c r="G49" s="1"/>
    </x:row>
    <x:row r="50" ht="22" customHeight="1">
      <x:c r="A50" s="1" t="str">
        <x:v>惠通达渠道</x:v>
      </x:c>
      <x:c r="B50" s="1" t="str">
        <x:v>GMV</x:v>
      </x:c>
      <x:c r="C50" s="8" t="n">
        <x:f>C119</x:f>
        <x:v>346068.6</x:v>
      </x:c>
      <x:c r="D50" s="8" t="n">
        <x:f>C120</x:f>
        <x:v>426284.81</x:v>
      </x:c>
      <x:c r="E50" s="8" t="n">
        <x:f>D50-C50</x:f>
        <x:v>80216.21000000002</x:v>
      </x:c>
      <x:c r="F50" s="1" t="str">
        <x:v>元</x:v>
      </x:c>
      <x:c r="G50" s="1"/>
    </x:row>
    <x:row r="51" ht="22" customHeight="1">
      <x:c r="A51" s="1" t="str">
        <x:v>惠通达渠道</x:v>
      </x:c>
      <x:c r="B51" s="1" t="str">
        <x:v>营收</x:v>
      </x:c>
      <x:c r="C51" s="8" t="n">
        <x:f>D119</x:f>
        <x:v>45436.4</x:v>
      </x:c>
      <x:c r="D51" s="8" t="n">
        <x:f>D120</x:f>
        <x:v>56505.82</x:v>
      </x:c>
      <x:c r="E51" s="8" t="n">
        <x:f>D51-C51</x:f>
        <x:v>11069.419999999998</x:v>
      </x:c>
      <x:c r="F51" s="1" t="str">
        <x:v>元</x:v>
      </x:c>
      <x:c r="G51" s="1"/>
    </x:row>
    <x:row r="52" ht="22" customHeight="1">
      <x:c r="A52" s="1" t="str">
        <x:v>惠通达渠道</x:v>
      </x:c>
      <x:c r="B52" s="1" t="str">
        <x:v>B端收益</x:v>
      </x:c>
      <x:c r="C52" s="8" t="n">
        <x:f>E119+F119</x:f>
        <x:v>12200.2</x:v>
      </x:c>
      <x:c r="D52" s="8" t="n">
        <x:f>E120+F120</x:f>
        <x:v>15385.94</x:v>
      </x:c>
      <x:c r="E52" s="8" t="n">
        <x:f>D52-C52</x:f>
        <x:v>3185.74</x:v>
      </x:c>
      <x:c r="F52" s="1" t="str">
        <x:v>元</x:v>
      </x:c>
      <x:c r="G52" s="1"/>
    </x:row>
    <x:row r="53" ht="22" customHeight="1">
      <x:c r="A53" s="1" t="str">
        <x:v>惠通达渠道</x:v>
      </x:c>
      <x:c r="B53" s="1" t="str">
        <x:v>人数</x:v>
      </x:c>
      <x:c r="C53" s="12" t="n">
        <x:f>G119</x:f>
        <x:v>95</x:v>
      </x:c>
      <x:c r="D53" s="12" t="n">
        <x:f>G120</x:f>
        <x:v>100</x:v>
      </x:c>
      <x:c r="E53" s="12" t="n">
        <x:f>D53-C53</x:f>
        <x:v>5</x:v>
      </x:c>
      <x:c r="F53" s="1" t="str">
        <x:v>人</x:v>
      </x:c>
      <x:c r="G53" s="1"/>
    </x:row>
    <x:row r="54" ht="22" customHeight="1">
      <x:c r="A54" s="6" t="str">
        <x:v>芯联科技店</x:v>
      </x:c>
      <x:c r="B54" s="6" t="str">
        <x:v>GMV</x:v>
      </x:c>
      <x:c r="C54" s="7" t="n">
        <x:f>C121</x:f>
        <x:v>1187975.04</x:v>
      </x:c>
      <x:c r="D54" s="7" t="n">
        <x:f>C122</x:f>
        <x:v>1430719.4</x:v>
      </x:c>
      <x:c r="E54" s="7" t="n">
        <x:f>D54-C54</x:f>
        <x:v>242744.35999999987</x:v>
      </x:c>
      <x:c r="F54" s="6" t="str">
        <x:v>元</x:v>
      </x:c>
      <x:c r="G54" s="1"/>
    </x:row>
    <x:row r="55" ht="22" customHeight="1">
      <x:c r="A55" s="6" t="str">
        <x:v>芯联科技店</x:v>
      </x:c>
      <x:c r="B55" s="6" t="str">
        <x:v>营收</x:v>
      </x:c>
      <x:c r="C55" s="7" t="n">
        <x:f>D121</x:f>
        <x:v>158176.12</x:v>
      </x:c>
      <x:c r="D55" s="7" t="n">
        <x:f>D122</x:f>
        <x:v>180493.96</x:v>
      </x:c>
      <x:c r="E55" s="7" t="n">
        <x:f>D55-C55</x:f>
        <x:v>22317.839999999997</x:v>
      </x:c>
      <x:c r="F55" s="6" t="str">
        <x:v>元</x:v>
      </x:c>
      <x:c r="G55" s="1"/>
    </x:row>
    <x:row r="56" ht="22" customHeight="1">
      <x:c r="A56" s="6" t="str">
        <x:v>芯联科技店</x:v>
      </x:c>
      <x:c r="B56" s="6" t="str">
        <x:v>B端收益</x:v>
      </x:c>
      <x:c r="C56" s="7" t="n">
        <x:f>E121+F121</x:f>
        <x:v>45732.229999999996</x:v>
      </x:c>
      <x:c r="D56" s="7" t="n">
        <x:f>E122+F122</x:f>
        <x:v>50968.04</x:v>
      </x:c>
      <x:c r="E56" s="7" t="n">
        <x:f>D56-C56</x:f>
        <x:v>5235.810000000005</x:v>
      </x:c>
      <x:c r="F56" s="6" t="str">
        <x:v>元</x:v>
      </x:c>
      <x:c r="G56" s="1"/>
    </x:row>
    <x:row r="57" ht="22" customHeight="1">
      <x:c r="A57" s="6" t="str">
        <x:v>芯联科技店</x:v>
      </x:c>
      <x:c r="B57" s="6" t="str">
        <x:v>人数</x:v>
      </x:c>
      <x:c r="C57" s="9" t="n">
        <x:f>G121</x:f>
        <x:v>104</x:v>
      </x:c>
      <x:c r="D57" s="9" t="n">
        <x:f>G122</x:f>
        <x:v>82</x:v>
      </x:c>
      <x:c r="E57" s="9" t="n">
        <x:f>D57-C57</x:f>
        <x:v>-22</x:v>
      </x:c>
      <x:c r="F57" s="6" t="str">
        <x:v>人</x:v>
      </x:c>
      <x:c r="G57" s="1"/>
    </x:row>
    <x:row r="58" ht="22" customHeight="1">
      <x:c r="A58" s="1" t="str">
        <x:v>品胜严选</x:v>
      </x:c>
      <x:c r="B58" s="1" t="str">
        <x:v>GMV</x:v>
      </x:c>
      <x:c r="C58" s="8" t="n">
        <x:f>C123</x:f>
        <x:v>597853.96</x:v>
      </x:c>
      <x:c r="D58" s="8" t="n">
        <x:f>C124</x:f>
        <x:v>718551.76</x:v>
      </x:c>
      <x:c r="E58" s="8" t="n">
        <x:f>D58-C58</x:f>
        <x:v>120697.80000000005</x:v>
      </x:c>
      <x:c r="F58" s="1" t="str">
        <x:v>元</x:v>
      </x:c>
      <x:c r="G58" s="1"/>
    </x:row>
    <x:row r="59" ht="22" customHeight="1">
      <x:c r="A59" s="1" t="str">
        <x:v>品胜严选</x:v>
      </x:c>
      <x:c r="B59" s="1" t="str">
        <x:v>营收</x:v>
      </x:c>
      <x:c r="C59" s="8" t="n">
        <x:f>D123</x:f>
        <x:v>81256.03</x:v>
      </x:c>
      <x:c r="D59" s="8" t="n">
        <x:f>D124</x:f>
        <x:v>98816.37</x:v>
      </x:c>
      <x:c r="E59" s="8" t="n">
        <x:f>D59-C59</x:f>
        <x:v>17560.339999999997</x:v>
      </x:c>
      <x:c r="F59" s="1" t="str">
        <x:v>元</x:v>
      </x:c>
      <x:c r="G59" s="1"/>
    </x:row>
    <x:row r="60" ht="22" customHeight="1">
      <x:c r="A60" s="1" t="str">
        <x:v>品胜严选</x:v>
      </x:c>
      <x:c r="B60" s="1" t="str">
        <x:v>B端收益</x:v>
      </x:c>
      <x:c r="C60" s="8" t="n">
        <x:f>E123+F123</x:f>
        <x:v>21104.45</x:v>
      </x:c>
      <x:c r="D60" s="8" t="n">
        <x:f>E124+F124</x:f>
        <x:v>26681.75</x:v>
      </x:c>
      <x:c r="E60" s="8" t="n">
        <x:f>D60-C60</x:f>
        <x:v>5577.299999999999</x:v>
      </x:c>
      <x:c r="F60" s="1" t="str">
        <x:v>元</x:v>
      </x:c>
      <x:c r="G60" s="1"/>
    </x:row>
    <x:row r="61" ht="22" customHeight="1">
      <x:c r="A61" s="1" t="str">
        <x:v>品胜严选</x:v>
      </x:c>
      <x:c r="B61" s="1" t="str">
        <x:v>人数</x:v>
      </x:c>
      <x:c r="C61" s="12" t="n">
        <x:f>G123</x:f>
        <x:v>96</x:v>
      </x:c>
      <x:c r="D61" s="12" t="n">
        <x:f>G124</x:f>
        <x:v>111</x:v>
      </x:c>
      <x:c r="E61" s="12" t="n">
        <x:f>D61-C61</x:f>
        <x:v>15</x:v>
      </x:c>
      <x:c r="F61" s="1" t="str">
        <x:v>人</x:v>
      </x:c>
      <x:c r="G61" s="1"/>
    </x:row>
    <x:row r="62" ht="22" customHeight="1">
      <x:c r="A62" s="6" t="str">
        <x:v>智汇通数码</x:v>
      </x:c>
      <x:c r="B62" s="6" t="str">
        <x:v>GMV</x:v>
      </x:c>
      <x:c r="C62" s="7" t="n">
        <x:f>C125</x:f>
        <x:v>991951.36</x:v>
      </x:c>
      <x:c r="D62" s="7" t="n">
        <x:f>C126</x:f>
        <x:v>1034882.3</x:v>
      </x:c>
      <x:c r="E62" s="7" t="n">
        <x:f>D62-C62</x:f>
        <x:v>42930.94000000006</x:v>
      </x:c>
      <x:c r="F62" s="6" t="str">
        <x:v>元</x:v>
      </x:c>
      <x:c r="G62" s="1"/>
    </x:row>
    <x:row r="63" ht="22" customHeight="1">
      <x:c r="A63" s="6" t="str">
        <x:v>智汇通数码</x:v>
      </x:c>
      <x:c r="B63" s="6" t="str">
        <x:v>营收</x:v>
      </x:c>
      <x:c r="C63" s="7" t="n">
        <x:f>D125</x:f>
        <x:v>125020.75</x:v>
      </x:c>
      <x:c r="D63" s="7" t="n">
        <x:f>D126</x:f>
        <x:v>127806.39</x:v>
      </x:c>
      <x:c r="E63" s="7" t="n">
        <x:f>D63-C63</x:f>
        <x:v>2785.6399999999994</x:v>
      </x:c>
      <x:c r="F63" s="6" t="str">
        <x:v>元</x:v>
      </x:c>
      <x:c r="G63" s="1"/>
    </x:row>
    <x:row r="64" ht="22" customHeight="1">
      <x:c r="A64" s="6" t="str">
        <x:v>智汇通数码</x:v>
      </x:c>
      <x:c r="B64" s="6" t="str">
        <x:v>B端收益</x:v>
      </x:c>
      <x:c r="C64" s="7" t="n">
        <x:f>E125+F125</x:f>
        <x:v>41069.69</x:v>
      </x:c>
      <x:c r="D64" s="7" t="n">
        <x:f>E126+F126</x:f>
        <x:v>39828.86</x:v>
      </x:c>
      <x:c r="E64" s="7" t="n">
        <x:f>D64-C64</x:f>
        <x:v>-1240.8300000000017</x:v>
      </x:c>
      <x:c r="F64" s="6" t="str">
        <x:v>元</x:v>
      </x:c>
      <x:c r="G64" s="1"/>
    </x:row>
    <x:row r="65" ht="22" customHeight="1">
      <x:c r="A65" s="6" t="str">
        <x:v>智汇通数码</x:v>
      </x:c>
      <x:c r="B65" s="6" t="str">
        <x:v>人数</x:v>
      </x:c>
      <x:c r="C65" s="9" t="n">
        <x:f>G125</x:f>
        <x:v>100</x:v>
      </x:c>
      <x:c r="D65" s="9" t="n">
        <x:f>G126</x:f>
        <x:v>103</x:v>
      </x:c>
      <x:c r="E65" s="9" t="n">
        <x:f>D65-C65</x:f>
        <x:v>3</x:v>
      </x:c>
      <x:c r="F65" s="6" t="str">
        <x:v>人</x:v>
      </x:c>
      <x:c r="G65" s="1"/>
    </x:row>
    <x:row r="66" ht="22" customHeight="1">
      <x:c r="A66" s="1" t="str">
        <x:v>乐购优品</x:v>
      </x:c>
      <x:c r="B66" s="1" t="str">
        <x:v>GMV</x:v>
      </x:c>
      <x:c r="C66" s="8" t="n">
        <x:f>C127</x:f>
        <x:v>463525.6</x:v>
      </x:c>
      <x:c r="D66" s="8" t="n">
        <x:f>C128</x:f>
        <x:v>510323.35</x:v>
      </x:c>
      <x:c r="E66" s="8" t="n">
        <x:f>D66-C66</x:f>
        <x:v>46797.75</x:v>
      </x:c>
      <x:c r="F66" s="1" t="str">
        <x:v>元</x:v>
      </x:c>
      <x:c r="G66" s="1"/>
    </x:row>
    <x:row r="67" ht="22" customHeight="1">
      <x:c r="A67" s="1" t="str">
        <x:v>乐购优品</x:v>
      </x:c>
      <x:c r="B67" s="1" t="str">
        <x:v>营收</x:v>
      </x:c>
      <x:c r="C67" s="8" t="n">
        <x:f>D127</x:f>
        <x:v>55785.09</x:v>
      </x:c>
      <x:c r="D67" s="8" t="n">
        <x:f>D128</x:f>
        <x:v>66730.42</x:v>
      </x:c>
      <x:c r="E67" s="8" t="n">
        <x:f>D67-C67</x:f>
        <x:v>10945.330000000002</x:v>
      </x:c>
      <x:c r="F67" s="1" t="str">
        <x:v>元</x:v>
      </x:c>
      <x:c r="G67" s="1"/>
    </x:row>
    <x:row r="68" ht="22" customHeight="1">
      <x:c r="A68" s="1" t="str">
        <x:v>乐购优品</x:v>
      </x:c>
      <x:c r="B68" s="1" t="str">
        <x:v>B端收益</x:v>
      </x:c>
      <x:c r="C68" s="8" t="n">
        <x:f>E127+F127</x:f>
        <x:v>17709.11</x:v>
      </x:c>
      <x:c r="D68" s="8" t="n">
        <x:f>E128+F128</x:f>
        <x:v>17476.38</x:v>
      </x:c>
      <x:c r="E68" s="8" t="n">
        <x:f>D68-C68</x:f>
        <x:v>-232.72999999999956</x:v>
      </x:c>
      <x:c r="F68" s="1" t="str">
        <x:v>元</x:v>
      </x:c>
      <x:c r="G68" s="1"/>
    </x:row>
    <x:row r="69" ht="22" customHeight="1">
      <x:c r="A69" s="1" t="str">
        <x:v>乐购优品</x:v>
      </x:c>
      <x:c r="B69" s="1" t="str">
        <x:v>人数</x:v>
      </x:c>
      <x:c r="C69" s="12" t="n">
        <x:f>G127</x:f>
        <x:v>103</x:v>
      </x:c>
      <x:c r="D69" s="12" t="n">
        <x:f>G128</x:f>
        <x:v>102</x:v>
      </x:c>
      <x:c r="E69" s="12" t="n">
        <x:f>D69-C69</x:f>
        <x:v>-1</x:v>
      </x:c>
      <x:c r="F69" s="1" t="str">
        <x:v>人</x:v>
      </x:c>
      <x:c r="G69" s="1"/>
    </x:row>
    <x:row r="70" ht="22" customHeight="1">
      <x:c r="A70" s="6" t="str">
        <x:v>汇鑫商贸</x:v>
      </x:c>
      <x:c r="B70" s="6" t="str">
        <x:v>GMV</x:v>
      </x:c>
      <x:c r="C70" s="7" t="n">
        <x:f>C129</x:f>
        <x:v>1119357</x:v>
      </x:c>
      <x:c r="D70" s="7" t="n">
        <x:f>C130</x:f>
        <x:v>1270653.69</x:v>
      </x:c>
      <x:c r="E70" s="7" t="n">
        <x:f>D70-C70</x:f>
        <x:v>151296.68999999994</x:v>
      </x:c>
      <x:c r="F70" s="6" t="str">
        <x:v>元</x:v>
      </x:c>
      <x:c r="G70" s="1"/>
    </x:row>
    <x:row r="71" ht="22" customHeight="1">
      <x:c r="A71" s="6" t="str">
        <x:v>汇鑫商贸</x:v>
      </x:c>
      <x:c r="B71" s="6" t="str">
        <x:v>营收</x:v>
      </x:c>
      <x:c r="C71" s="7" t="n">
        <x:f>D129</x:f>
        <x:v>137292.69</x:v>
      </x:c>
      <x:c r="D71" s="7" t="n">
        <x:f>D130</x:f>
        <x:v>159838.99</x:v>
      </x:c>
      <x:c r="E71" s="7" t="n">
        <x:f>D71-C71</x:f>
        <x:v>22546.29999999999</x:v>
      </x:c>
      <x:c r="F71" s="6" t="str">
        <x:v>元</x:v>
      </x:c>
      <x:c r="G71" s="1"/>
    </x:row>
    <x:row r="72" ht="22" customHeight="1">
      <x:c r="A72" s="6" t="str">
        <x:v>汇鑫商贸</x:v>
      </x:c>
      <x:c r="B72" s="6" t="str">
        <x:v>B端收益</x:v>
      </x:c>
      <x:c r="C72" s="7" t="n">
        <x:f>E129+F129</x:f>
        <x:v>41996.92</x:v>
      </x:c>
      <x:c r="D72" s="7" t="n">
        <x:f>E130+F130</x:f>
        <x:v>49206.369999999995</x:v>
      </x:c>
      <x:c r="E72" s="7" t="n">
        <x:f>D72-C72</x:f>
        <x:v>7209.449999999997</x:v>
      </x:c>
      <x:c r="F72" s="6" t="str">
        <x:v>元</x:v>
      </x:c>
      <x:c r="G72" s="1"/>
    </x:row>
    <x:row r="73" ht="22" customHeight="1">
      <x:c r="A73" s="6" t="str">
        <x:v>汇鑫商贸</x:v>
      </x:c>
      <x:c r="B73" s="6" t="str">
        <x:v>人数</x:v>
      </x:c>
      <x:c r="C73" s="9" t="n">
        <x:f>G129</x:f>
        <x:v>102</x:v>
      </x:c>
      <x:c r="D73" s="9" t="n">
        <x:f>G130</x:f>
        <x:v>85</x:v>
      </x:c>
      <x:c r="E73" s="9" t="n">
        <x:f>D73-C73</x:f>
        <x:v>-17</x:v>
      </x:c>
      <x:c r="F73" s="6" t="str">
        <x:v>人</x:v>
      </x:c>
      <x:c r="G73" s="1"/>
    </x:row>
    <x:row r="74" ht="22" customHeight="1">
      <x:c r="A74" s="1" t="str">
        <x:v>凯瑞电商</x:v>
      </x:c>
      <x:c r="B74" s="1" t="str">
        <x:v>GMV</x:v>
      </x:c>
      <x:c r="C74" s="8" t="n">
        <x:f>C131</x:f>
        <x:v>399527.94</x:v>
      </x:c>
      <x:c r="D74" s="8" t="n">
        <x:f>C132</x:f>
        <x:v>473261.99</x:v>
      </x:c>
      <x:c r="E74" s="8" t="n">
        <x:f>D74-C74</x:f>
        <x:v>73734.04999999999</x:v>
      </x:c>
      <x:c r="F74" s="1" t="str">
        <x:v>元</x:v>
      </x:c>
      <x:c r="G74" s="1"/>
    </x:row>
    <x:row r="75" ht="22" customHeight="1">
      <x:c r="A75" s="1" t="str">
        <x:v>凯瑞电商</x:v>
      </x:c>
      <x:c r="B75" s="1" t="str">
        <x:v>营收</x:v>
      </x:c>
      <x:c r="C75" s="8" t="n">
        <x:f>D131</x:f>
        <x:v>53738.23</x:v>
      </x:c>
      <x:c r="D75" s="8" t="n">
        <x:f>D132</x:f>
        <x:v>58890.45</x:v>
      </x:c>
      <x:c r="E75" s="8" t="n">
        <x:f>D75-C75</x:f>
        <x:v>5152.219999999994</x:v>
      </x:c>
      <x:c r="F75" s="1" t="str">
        <x:v>元</x:v>
      </x:c>
      <x:c r="G75" s="1"/>
    </x:row>
    <x:row r="76" ht="22" customHeight="1">
      <x:c r="A76" s="1" t="str">
        <x:v>凯瑞电商</x:v>
      </x:c>
      <x:c r="B76" s="1" t="str">
        <x:v>B端收益</x:v>
      </x:c>
      <x:c r="C76" s="8" t="n">
        <x:f>E131+F131</x:f>
        <x:v>14632.66</x:v>
      </x:c>
      <x:c r="D76" s="8" t="n">
        <x:f>E132+F132</x:f>
        <x:v>18177.989999999998</x:v>
      </x:c>
      <x:c r="E76" s="8" t="n">
        <x:f>D76-C76</x:f>
        <x:v>3545.329999999998</x:v>
      </x:c>
      <x:c r="F76" s="1" t="str">
        <x:v>元</x:v>
      </x:c>
      <x:c r="G76" s="1"/>
    </x:row>
    <x:row r="77" ht="22" customHeight="1">
      <x:c r="A77" s="1" t="str">
        <x:v>凯瑞电商</x:v>
      </x:c>
      <x:c r="B77" s="1" t="str">
        <x:v>人数</x:v>
      </x:c>
      <x:c r="C77" s="12" t="n">
        <x:f>G131</x:f>
        <x:v>102</x:v>
      </x:c>
      <x:c r="D77" s="12" t="n">
        <x:f>G132</x:f>
        <x:v>96</x:v>
      </x:c>
      <x:c r="E77" s="12" t="n">
        <x:f>D77-C77</x:f>
        <x:v>-6</x:v>
      </x:c>
      <x:c r="F77" s="1" t="str">
        <x:v>人</x:v>
      </x:c>
      <x:c r="G77" s="1"/>
    </x:row>
    <x:row r="78" ht="22" customHeight="1">
      <x:c r="A78" s="6" t="str">
        <x:v>尚品优选</x:v>
      </x:c>
      <x:c r="B78" s="6" t="str">
        <x:v>GMV</x:v>
      </x:c>
      <x:c r="C78" s="7" t="n">
        <x:f>C133</x:f>
        <x:v>1140482.22</x:v>
      </x:c>
      <x:c r="D78" s="7" t="n">
        <x:f>C134</x:f>
        <x:v>1230846.34</x:v>
      </x:c>
      <x:c r="E78" s="7" t="n">
        <x:f>D78-C78</x:f>
        <x:v>90364.12000000011</x:v>
      </x:c>
      <x:c r="F78" s="6" t="str">
        <x:v>元</x:v>
      </x:c>
      <x:c r="G78" s="1"/>
    </x:row>
    <x:row r="79" ht="22" customHeight="1">
      <x:c r="A79" s="6" t="str">
        <x:v>尚品优选</x:v>
      </x:c>
      <x:c r="B79" s="6" t="str">
        <x:v>营收</x:v>
      </x:c>
      <x:c r="C79" s="7" t="n">
        <x:f>D133</x:f>
        <x:v>153760.88</x:v>
      </x:c>
      <x:c r="D79" s="7" t="n">
        <x:f>D134</x:f>
        <x:v>174369.28</x:v>
      </x:c>
      <x:c r="E79" s="7" t="n">
        <x:f>D79-C79</x:f>
        <x:v>20608.399999999994</x:v>
      </x:c>
      <x:c r="F79" s="6" t="str">
        <x:v>元</x:v>
      </x:c>
      <x:c r="G79" s="1"/>
    </x:row>
    <x:row r="80" ht="22" customHeight="1">
      <x:c r="A80" s="6" t="str">
        <x:v>尚品优选</x:v>
      </x:c>
      <x:c r="B80" s="6" t="str">
        <x:v>B端收益</x:v>
      </x:c>
      <x:c r="C80" s="7" t="n">
        <x:f>E133+F133</x:f>
        <x:v>47256.89</x:v>
      </x:c>
      <x:c r="D80" s="7" t="n">
        <x:f>E134+F134</x:f>
        <x:v>47820.509999999995</x:v>
      </x:c>
      <x:c r="E80" s="7" t="n">
        <x:f>D80-C80</x:f>
        <x:v>563.6199999999953</x:v>
      </x:c>
      <x:c r="F80" s="6" t="str">
        <x:v>元</x:v>
      </x:c>
      <x:c r="G80" s="1"/>
    </x:row>
    <x:row r="81" ht="22" customHeight="1">
      <x:c r="A81" s="6" t="str">
        <x:v>尚品优选</x:v>
      </x:c>
      <x:c r="B81" s="6" t="str">
        <x:v>人数</x:v>
      </x:c>
      <x:c r="C81" s="9" t="n">
        <x:f>G133</x:f>
        <x:v>111</x:v>
      </x:c>
      <x:c r="D81" s="9" t="n">
        <x:f>G134</x:f>
        <x:v>70</x:v>
      </x:c>
      <x:c r="E81" s="9" t="n">
        <x:f>D81-C81</x:f>
        <x:v>-41</x:v>
      </x:c>
      <x:c r="F81" s="6" t="str">
        <x:v>人</x:v>
      </x:c>
      <x:c r="G81" s="1"/>
    </x:row>
    <x:row r="82" ht="22" customHeight="1">
      <x:c r="A82" s="1" t="str">
        <x:v>环球数码城</x:v>
      </x:c>
      <x:c r="B82" s="1" t="str">
        <x:v>GMV</x:v>
      </x:c>
      <x:c r="C82" s="8" t="n">
        <x:f>C135</x:f>
        <x:v>622576.08</x:v>
      </x:c>
      <x:c r="D82" s="8" t="n">
        <x:f>C136</x:f>
        <x:v>710914.19</x:v>
      </x:c>
      <x:c r="E82" s="8" t="n">
        <x:f>D82-C82</x:f>
        <x:v>88338.10999999999</x:v>
      </x:c>
      <x:c r="F82" s="1" t="str">
        <x:v>元</x:v>
      </x:c>
      <x:c r="G82" s="1"/>
    </x:row>
    <x:row r="83" ht="22" customHeight="1">
      <x:c r="A83" s="1" t="str">
        <x:v>环球数码城</x:v>
      </x:c>
      <x:c r="B83" s="1" t="str">
        <x:v>营收</x:v>
      </x:c>
      <x:c r="C83" s="8" t="n">
        <x:f>D135</x:f>
        <x:v>77040</x:v>
      </x:c>
      <x:c r="D83" s="8" t="n">
        <x:f>D136</x:f>
        <x:v>94600.54</x:v>
      </x:c>
      <x:c r="E83" s="8" t="n">
        <x:f>D83-C83</x:f>
        <x:v>17560.539999999994</x:v>
      </x:c>
      <x:c r="F83" s="1" t="str">
        <x:v>元</x:v>
      </x:c>
      <x:c r="G83" s="1"/>
    </x:row>
    <x:row r="84" ht="22" customHeight="1">
      <x:c r="A84" s="1" t="str">
        <x:v>环球数码城</x:v>
      </x:c>
      <x:c r="B84" s="1" t="str">
        <x:v>B端收益</x:v>
      </x:c>
      <x:c r="C84" s="8" t="n">
        <x:f>E135+F135</x:f>
        <x:v>23994.22</x:v>
      </x:c>
      <x:c r="D84" s="8" t="n">
        <x:f>E136+F136</x:f>
        <x:v>27095.21</x:v>
      </x:c>
      <x:c r="E84" s="8" t="n">
        <x:f>D84-C84</x:f>
        <x:v>3100.989999999998</x:v>
      </x:c>
      <x:c r="F84" s="1" t="str">
        <x:v>元</x:v>
      </x:c>
      <x:c r="G84" s="1"/>
    </x:row>
    <x:row r="85" ht="22" customHeight="1">
      <x:c r="A85" s="1" t="str">
        <x:v>环球数码城</x:v>
      </x:c>
      <x:c r="B85" s="1" t="str">
        <x:v>人数</x:v>
      </x:c>
      <x:c r="C85" s="12" t="n">
        <x:f>G135</x:f>
        <x:v>102</x:v>
      </x:c>
      <x:c r="D85" s="12" t="n">
        <x:f>G136</x:f>
        <x:v>108</x:v>
      </x:c>
      <x:c r="E85" s="12" t="n">
        <x:f>D85-C85</x:f>
        <x:v>6</x:v>
      </x:c>
      <x:c r="F85" s="1" t="str">
        <x:v>人</x:v>
      </x:c>
      <x:c r="G85" s="1"/>
    </x:row>
    <x:row r="86" ht="22" customHeight="1">
      <x:c r="A86" s="1"/>
      <x:c r="B86" s="1"/>
      <x:c r="C86" s="1"/>
      <x:c r="D86" s="1"/>
      <x:c r="E86" s="1"/>
      <x:c r="F86" s="1"/>
      <x:c r="G86" s="1"/>
    </x:row>
    <x:row r="87" ht="22" customHeight="1">
      <x:c r="A87" s="1"/>
      <x:c r="B87" s="1"/>
      <x:c r="C87" s="1"/>
      <x:c r="D87" s="1"/>
      <x:c r="E87" s="1"/>
      <x:c r="F87" s="1"/>
      <x:c r="G87" s="1"/>
    </x:row>
    <x:row r="88" ht="22" customHeight="1">
      <x:c r="A88" s="15" t="str">
        <x:v>统计口径</x:v>
      </x:c>
      <x:c r="B88" s="1"/>
      <x:c r="C88" s="1"/>
      <x:c r="D88" s="1"/>
      <x:c r="E88" s="1"/>
      <x:c r="F88" s="1"/>
      <x:c r="G88" s="1"/>
    </x:row>
    <x:row r="89" ht="22" customHeight="1">
      <x:c r="A89" s="16" t="str">
        <x:v>以QUARTER中的已确认业务季度归属，未确认记录未参与季度比较。</x:v>
      </x:c>
      <x:c r="B89" s="16"/>
      <x:c r="C89" s="16"/>
      <x:c r="D89" s="16"/>
      <x:c r="E89" s="16"/>
      <x:c r="F89" s="16"/>
      <x:c r="G89" s="16"/>
    </x:row>
    <x:row r="90" ht="22" customHeight="1">
      <x:c r="A90" s="16" t="str">
        <x:v>已剔除整行重复；1010条源记录，去重后1005条，纳入1000条，两期各500条。</x:v>
      </x:c>
      <x:c r="B90" s="16"/>
      <x:c r="C90" s="16"/>
      <x:c r="D90" s="16"/>
      <x:c r="E90" s="16"/>
      <x:c r="F90" s="16"/>
      <x:c r="G90" s="16"/>
    </x:row>
    <x:row r="91" ht="22" customHeight="1">
      <x:c r="A91" s="16" t="str">
        <x:v>B端收益 = 平台费合计 + 服务费合计；人数按有效记录累加。</x:v>
      </x:c>
      <x:c r="B91" s="16"/>
      <x:c r="C91" s="16"/>
      <x:c r="D91" s="16"/>
      <x:c r="E91" s="16"/>
      <x:c r="F91" s="16"/>
      <x:c r="G91" s="16"/>
    </x:row>
    <x:row r="92" ht="22" customHeight="1">
      <x:c r="A92" s="16" t="str">
        <x:v>20个渠道均纳入；两期增减使用未舍入值。金额为人民币元。</x:v>
      </x:c>
      <x:c r="B92" s="16"/>
      <x:c r="C92" s="16"/>
      <x:c r="D92" s="16"/>
      <x:c r="E92" s="16"/>
      <x:c r="F92" s="16"/>
      <x:c r="G92" s="16"/>
    </x:row>
    <x:row r="93" ht="22" customHeight="1">
      <x:c r="A93" s="16" t="str">
        <x:v>来源：input/渠道回款明细.xlsx，回款明细；下方为去重后的季度汇总。</x:v>
      </x:c>
      <x:c r="B93" s="16"/>
      <x:c r="C93" s="16"/>
      <x:c r="D93" s="16"/>
      <x:c r="E93" s="16"/>
      <x:c r="F93" s="16"/>
      <x:c r="G93" s="16"/>
    </x:row>
    <x:row r="94" ht="22" customHeight="1">
      <x:c r="A94" s="1"/>
      <x:c r="B94" s="1"/>
      <x:c r="C94" s="1"/>
      <x:c r="D94" s="1"/>
      <x:c r="E94" s="1"/>
      <x:c r="F94" s="1"/>
      <x:c r="G94" s="1"/>
    </x:row>
    <x:row r="95" ht="22" customHeight="1">
      <x:c r="A95" s="1" t="str">
        <x:v>季度汇总依据（各指标按有效记录累计）</x:v>
      </x:c>
      <x:c r="B95" s="1"/>
      <x:c r="C95" s="1"/>
      <x:c r="D95" s="1"/>
      <x:c r="E95" s="1"/>
      <x:c r="F95" s="1"/>
      <x:c r="G95" s="1"/>
    </x:row>
    <x:row r="96" ht="28" customHeight="1">
      <x:c r="A96" s="20" t="str">
        <x:v>渠道商</x:v>
      </x:c>
      <x:c r="B96" s="20" t="str">
        <x:v>业务季度</x:v>
      </x:c>
      <x:c r="C96" s="20" t="str">
        <x:v>GMV</x:v>
      </x:c>
      <x:c r="D96" s="20" t="str">
        <x:v>REVENUE</x:v>
      </x:c>
      <x:c r="E96" s="20" t="str">
        <x:v>PLATFORM_FEE</x:v>
      </x:c>
      <x:c r="F96" s="20" t="str">
        <x:v>SERVICE_FEE</x:v>
      </x:c>
      <x:c r="G96" s="20" t="str">
        <x:v>HEADCOUNT</x:v>
      </x:c>
    </x:row>
    <x:row r="97" ht="22" customHeight="1">
      <x:c r="A97" s="1" t="str">
        <x:v>星辰数码旗舰店</x:v>
      </x:c>
      <x:c r="B97" s="1" t="str">
        <x:v>25Q1</x:v>
      </x:c>
      <x:c r="C97" s="4" t="n">
        <x:v>818169.52</x:v>
      </x:c>
      <x:c r="D97" s="4" t="n">
        <x:v>116145.77</x:v>
      </x:c>
      <x:c r="E97" s="4" t="n">
        <x:v>20640.07</x:v>
      </x:c>
      <x:c r="F97" s="4" t="n">
        <x:v>9943.27</x:v>
      </x:c>
      <x:c r="G97" s="5" t="n">
        <x:v>106</x:v>
      </x:c>
    </x:row>
    <x:row r="98" ht="22" customHeight="1">
      <x:c r="A98" s="1" t="str">
        <x:v>星辰数码旗舰店</x:v>
      </x:c>
      <x:c r="B98" s="1" t="str">
        <x:v>26Q1</x:v>
      </x:c>
      <x:c r="C98" s="4" t="n">
        <x:v>959942.18</x:v>
      </x:c>
      <x:c r="D98" s="4" t="n">
        <x:v>126365.59</x:v>
      </x:c>
      <x:c r="E98" s="4" t="n">
        <x:v>24458.54</x:v>
      </x:c>
      <x:c r="F98" s="4" t="n">
        <x:v>11795.79</x:v>
      </x:c>
      <x:c r="G98" s="5" t="n">
        <x:v>92</x:v>
      </x:c>
    </x:row>
    <x:row r="99" ht="22" customHeight="1">
      <x:c r="A99" s="1" t="str">
        <x:v>云端优品专营</x:v>
      </x:c>
      <x:c r="B99" s="1" t="str">
        <x:v>25Q1</x:v>
      </x:c>
      <x:c r="C99" s="4" t="n">
        <x:v>550054.08</x:v>
      </x:c>
      <x:c r="D99" s="4" t="n">
        <x:v>77240.91</x:v>
      </x:c>
      <x:c r="E99" s="4" t="n">
        <x:v>13356.07</x:v>
      </x:c>
      <x:c r="F99" s="4" t="n">
        <x:v>6517.5</x:v>
      </x:c>
      <x:c r="G99" s="5" t="n">
        <x:v>98</x:v>
      </x:c>
    </x:row>
    <x:row r="100" ht="22" customHeight="1">
      <x:c r="A100" s="1" t="str">
        <x:v>云端优品专营</x:v>
      </x:c>
      <x:c r="B100" s="1" t="str">
        <x:v>26Q1</x:v>
      </x:c>
      <x:c r="C100" s="4" t="n">
        <x:v>678042.59</x:v>
      </x:c>
      <x:c r="D100" s="4" t="n">
        <x:v>90426.17</x:v>
      </x:c>
      <x:c r="E100" s="4" t="n">
        <x:v>18717.08</x:v>
      </x:c>
      <x:c r="F100" s="4" t="n">
        <x:v>8957.8</x:v>
      </x:c>
      <x:c r="G100" s="5" t="n">
        <x:v>103</x:v>
      </x:c>
    </x:row>
    <x:row r="101" ht="22" customHeight="1">
      <x:c r="A101" s="1" t="str">
        <x:v>锦绣生活馆</x:v>
      </x:c>
      <x:c r="B101" s="1" t="str">
        <x:v>25Q1</x:v>
      </x:c>
      <x:c r="C101" s="4" t="n">
        <x:v>1015101.6</x:v>
      </x:c>
      <x:c r="D101" s="4" t="n">
        <x:v>144587.89</x:v>
      </x:c>
      <x:c r="E101" s="4" t="n">
        <x:v>27606.15</x:v>
      </x:c>
      <x:c r="F101" s="4" t="n">
        <x:v>13455.43</x:v>
      </x:c>
      <x:c r="G101" s="5" t="n">
        <x:v>78</x:v>
      </x:c>
    </x:row>
    <x:row r="102" ht="22" customHeight="1">
      <x:c r="A102" s="1" t="str">
        <x:v>锦绣生活馆</x:v>
      </x:c>
      <x:c r="B102" s="1" t="str">
        <x:v>26Q1</x:v>
      </x:c>
      <x:c r="C102" s="4" t="n">
        <x:v>1434896.52</x:v>
      </x:c>
      <x:c r="D102" s="4" t="n">
        <x:v>198502.64</x:v>
      </x:c>
      <x:c r="E102" s="4" t="n">
        <x:v>36625.46</x:v>
      </x:c>
      <x:c r="F102" s="4" t="n">
        <x:v>16240.84</x:v>
      </x:c>
      <x:c r="G102" s="5" t="n">
        <x:v>90</x:v>
      </x:c>
    </x:row>
    <x:row r="103" ht="22" customHeight="1">
      <x:c r="A103" s="1" t="str">
        <x:v>蓝海科技直营</x:v>
      </x:c>
      <x:c r="B103" s="1" t="str">
        <x:v>25Q1</x:v>
      </x:c>
      <x:c r="C103" s="4" t="n">
        <x:v>437601.15</x:v>
      </x:c>
      <x:c r="D103" s="4" t="n">
        <x:v>56872.45</x:v>
      </x:c>
      <x:c r="E103" s="4" t="n">
        <x:v>9051.36</x:v>
      </x:c>
      <x:c r="F103" s="4" t="n">
        <x:v>5623.52</x:v>
      </x:c>
      <x:c r="G103" s="5" t="n">
        <x:v>109</x:v>
      </x:c>
    </x:row>
    <x:row r="104" ht="22" customHeight="1">
      <x:c r="A104" s="1" t="str">
        <x:v>蓝海科技直营</x:v>
      </x:c>
      <x:c r="B104" s="1" t="str">
        <x:v>26Q1</x:v>
      </x:c>
      <x:c r="C104" s="4" t="n">
        <x:v>543675.32</x:v>
      </x:c>
      <x:c r="D104" s="4" t="n">
        <x:v>74624.45</x:v>
      </x:c>
      <x:c r="E104" s="4" t="n">
        <x:v>14407.22</x:v>
      </x:c>
      <x:c r="F104" s="4" t="n">
        <x:v>7304.63</x:v>
      </x:c>
      <x:c r="G104" s="5" t="n">
        <x:v>106</x:v>
      </x:c>
    </x:row>
    <x:row r="105" ht="22" customHeight="1">
      <x:c r="A105" s="1" t="str">
        <x:v>万家好物联盟</x:v>
      </x:c>
      <x:c r="B105" s="1" t="str">
        <x:v>25Q1</x:v>
      </x:c>
      <x:c r="C105" s="4" t="n">
        <x:v>1332494.88</x:v>
      </x:c>
      <x:c r="D105" s="4" t="n">
        <x:v>178751.32</x:v>
      </x:c>
      <x:c r="E105" s="4" t="n">
        <x:v>29192.5</x:v>
      </x:c>
      <x:c r="F105" s="4" t="n">
        <x:v>16823.88</x:v>
      </x:c>
      <x:c r="G105" s="5" t="n">
        <x:v>97</x:v>
      </x:c>
    </x:row>
    <x:row r="106" ht="22" customHeight="1">
      <x:c r="A106" s="1" t="str">
        <x:v>万家好物联盟</x:v>
      </x:c>
      <x:c r="B106" s="1" t="str">
        <x:v>26Q1</x:v>
      </x:c>
      <x:c r="C106" s="4" t="n">
        <x:v>1634261.11</x:v>
      </x:c>
      <x:c r="D106" s="4" t="n">
        <x:v>201997.85</x:v>
      </x:c>
      <x:c r="E106" s="4" t="n">
        <x:v>40084.48</x:v>
      </x:c>
      <x:c r="F106" s="4" t="n">
        <x:v>19358.77</x:v>
      </x:c>
      <x:c r="G106" s="5" t="n">
        <x:v>101</x:v>
      </x:c>
    </x:row>
    <x:row r="107" ht="22" customHeight="1">
      <x:c r="A107" s="1" t="str">
        <x:v>鼎盛电子渠道</x:v>
      </x:c>
      <x:c r="B107" s="1" t="str">
        <x:v>25Q1</x:v>
      </x:c>
      <x:c r="C107" s="4" t="n">
        <x:v>766050.5</x:v>
      </x:c>
      <x:c r="D107" s="4" t="n">
        <x:v>95540.93</x:v>
      </x:c>
      <x:c r="E107" s="4" t="n">
        <x:v>19765.73</x:v>
      </x:c>
      <x:c r="F107" s="4" t="n">
        <x:v>8244.6</x:v>
      </x:c>
      <x:c r="G107" s="5" t="n">
        <x:v>105</x:v>
      </x:c>
    </x:row>
    <x:row r="108" ht="22" customHeight="1">
      <x:c r="A108" s="1" t="str">
        <x:v>鼎盛电子渠道</x:v>
      </x:c>
      <x:c r="B108" s="1" t="str">
        <x:v>26Q1</x:v>
      </x:c>
      <x:c r="C108" s="4" t="n">
        <x:v>923536.41</x:v>
      </x:c>
      <x:c r="D108" s="4" t="n">
        <x:v>124596.45</x:v>
      </x:c>
      <x:c r="E108" s="4" t="n">
        <x:v>24239.76</x:v>
      </x:c>
      <x:c r="F108" s="4" t="n">
        <x:v>12440.29</x:v>
      </x:c>
      <x:c r="G108" s="5" t="n">
        <x:v>109</x:v>
      </x:c>
    </x:row>
    <x:row r="109" ht="22" customHeight="1">
      <x:c r="A109" s="1" t="str">
        <x:v>金桥百货在线</x:v>
      </x:c>
      <x:c r="B109" s="1" t="str">
        <x:v>25Q1</x:v>
      </x:c>
      <x:c r="C109" s="4" t="n">
        <x:v>954038.75</x:v>
      </x:c>
      <x:c r="D109" s="4" t="n">
        <x:v>125908.98</x:v>
      </x:c>
      <x:c r="E109" s="4" t="n">
        <x:v>26373.17</x:v>
      </x:c>
      <x:c r="F109" s="4" t="n">
        <x:v>12563.4</x:v>
      </x:c>
      <x:c r="G109" s="5" t="n">
        <x:v>95</x:v>
      </x:c>
    </x:row>
    <x:row r="110" ht="22" customHeight="1">
      <x:c r="A110" s="1" t="str">
        <x:v>金桥百货在线</x:v>
      </x:c>
      <x:c r="B110" s="1" t="str">
        <x:v>26Q1</x:v>
      </x:c>
      <x:c r="C110" s="4" t="n">
        <x:v>1061096.13</x:v>
      </x:c>
      <x:c r="D110" s="4" t="n">
        <x:v>143789.05</x:v>
      </x:c>
      <x:c r="E110" s="4" t="n">
        <x:v>27873.42</x:v>
      </x:c>
      <x:c r="F110" s="4" t="n">
        <x:v>12050.25</x:v>
      </x:c>
      <x:c r="G110" s="5" t="n">
        <x:v>103</x:v>
      </x:c>
    </x:row>
    <x:row r="111" ht="22" customHeight="1">
      <x:c r="A111" s="1" t="str">
        <x:v>翠微精选商城</x:v>
      </x:c>
      <x:c r="B111" s="1" t="str">
        <x:v>25Q1</x:v>
      </x:c>
      <x:c r="C111" s="4" t="n">
        <x:v>281128.7</x:v>
      </x:c>
      <x:c r="D111" s="4" t="n">
        <x:v>38056.74</x:v>
      </x:c>
      <x:c r="E111" s="4" t="n">
        <x:v>6944.31</x:v>
      </x:c>
      <x:c r="F111" s="4" t="n">
        <x:v>3127.58</x:v>
      </x:c>
      <x:c r="G111" s="5" t="n">
        <x:v>109</x:v>
      </x:c>
    </x:row>
    <x:row r="112" ht="22" customHeight="1">
      <x:c r="A112" s="1" t="str">
        <x:v>翠微精选商城</x:v>
      </x:c>
      <x:c r="B112" s="1" t="str">
        <x:v>26Q1</x:v>
      </x:c>
      <x:c r="C112" s="4" t="n">
        <x:v>328274.25</x:v>
      </x:c>
      <x:c r="D112" s="4" t="n">
        <x:v>45143.6</x:v>
      </x:c>
      <x:c r="E112" s="4" t="n">
        <x:v>8342.13</x:v>
      </x:c>
      <x:c r="F112" s="4" t="n">
        <x:v>4693.11</x:v>
      </x:c>
      <x:c r="G112" s="5" t="n">
        <x:v>104</x:v>
      </x:c>
    </x:row>
    <x:row r="113" ht="22" customHeight="1">
      <x:c r="A113" s="1" t="str">
        <x:v>优享全球购</x:v>
      </x:c>
      <x:c r="B113" s="1" t="str">
        <x:v>25Q1</x:v>
      </x:c>
      <x:c r="C113" s="4" t="n">
        <x:v>1580919.6</x:v>
      </x:c>
      <x:c r="D113" s="4" t="n">
        <x:v>210077.47</x:v>
      </x:c>
      <x:c r="E113" s="4" t="n">
        <x:v>38519.91</x:v>
      </x:c>
      <x:c r="F113" s="4" t="n">
        <x:v>18236.81</x:v>
      </x:c>
      <x:c r="G113" s="5" t="n">
        <x:v>94</x:v>
      </x:c>
    </x:row>
    <x:row r="114" ht="22" customHeight="1">
      <x:c r="A114" s="1" t="str">
        <x:v>优享全球购</x:v>
      </x:c>
      <x:c r="B114" s="1" t="str">
        <x:v>26Q1</x:v>
      </x:c>
      <x:c r="C114" s="4" t="n">
        <x:v>1845184.19</x:v>
      </x:c>
      <x:c r="D114" s="4" t="n">
        <x:v>243745.97</x:v>
      </x:c>
      <x:c r="E114" s="4" t="n">
        <x:v>50514.34</x:v>
      </x:c>
      <x:c r="F114" s="4" t="n">
        <x:v>25859.73</x:v>
      </x:c>
      <x:c r="G114" s="5" t="n">
        <x:v>86</x:v>
      </x:c>
    </x:row>
    <x:row r="115" ht="22" customHeight="1">
      <x:c r="A115" s="1" t="str">
        <x:v>盛世优选</x:v>
      </x:c>
      <x:c r="B115" s="1" t="str">
        <x:v>25Q1</x:v>
      </x:c>
      <x:c r="C115" s="4" t="n">
        <x:v>538090.4</x:v>
      </x:c>
      <x:c r="D115" s="4" t="n">
        <x:v>68218.24</x:v>
      </x:c>
      <x:c r="E115" s="4" t="n">
        <x:v>16516.91</x:v>
      </x:c>
      <x:c r="F115" s="4" t="n">
        <x:v>6856.82</x:v>
      </x:c>
      <x:c r="G115" s="5" t="n">
        <x:v>108</x:v>
      </x:c>
    </x:row>
    <x:row r="116" ht="22" customHeight="1">
      <x:c r="A116" s="1" t="str">
        <x:v>盛世优选</x:v>
      </x:c>
      <x:c r="B116" s="1" t="str">
        <x:v>26Q1</x:v>
      </x:c>
      <x:c r="C116" s="4" t="n">
        <x:v>694972.09</x:v>
      </x:c>
      <x:c r="D116" s="4" t="n">
        <x:v>91307.58</x:v>
      </x:c>
      <x:c r="E116" s="4" t="n">
        <x:v>18188.82</x:v>
      </x:c>
      <x:c r="F116" s="4" t="n">
        <x:v>8194.32</x:v>
      </x:c>
      <x:c r="G116" s="5" t="n">
        <x:v>104</x:v>
      </x:c>
    </x:row>
    <x:row r="117" ht="22" customHeight="1">
      <x:c r="A117" s="1" t="str">
        <x:v>天际数码港</x:v>
      </x:c>
      <x:c r="B117" s="1" t="str">
        <x:v>25Q1</x:v>
      </x:c>
      <x:c r="C117" s="4" t="n">
        <x:v>825243.3</x:v>
      </x:c>
      <x:c r="D117" s="4" t="n">
        <x:v>104024.1</x:v>
      </x:c>
      <x:c r="E117" s="4" t="n">
        <x:v>20470.11</x:v>
      </x:c>
      <x:c r="F117" s="4" t="n">
        <x:v>10280.91</x:v>
      </x:c>
      <x:c r="G117" s="5" t="n">
        <x:v>100</x:v>
      </x:c>
    </x:row>
    <x:row r="118" ht="22" customHeight="1">
      <x:c r="A118" s="1" t="str">
        <x:v>天际数码港</x:v>
      </x:c>
      <x:c r="B118" s="1" t="str">
        <x:v>26Q1</x:v>
      </x:c>
      <x:c r="C118" s="4" t="n">
        <x:v>966769.03</x:v>
      </x:c>
      <x:c r="D118" s="4" t="n">
        <x:v>138232.7</x:v>
      </x:c>
      <x:c r="E118" s="4" t="n">
        <x:v>22336.12</x:v>
      </x:c>
      <x:c r="F118" s="4" t="n">
        <x:v>12152.7</x:v>
      </x:c>
      <x:c r="G118" s="5" t="n">
        <x:v>99</x:v>
      </x:c>
    </x:row>
    <x:row r="119" ht="22" customHeight="1">
      <x:c r="A119" s="1" t="str">
        <x:v>惠通达渠道</x:v>
      </x:c>
      <x:c r="B119" s="1" t="str">
        <x:v>25Q1</x:v>
      </x:c>
      <x:c r="C119" s="4" t="n">
        <x:v>346068.6</x:v>
      </x:c>
      <x:c r="D119" s="4" t="n">
        <x:v>45436.4</x:v>
      </x:c>
      <x:c r="E119" s="4" t="n">
        <x:v>8410.87</x:v>
      </x:c>
      <x:c r="F119" s="4" t="n">
        <x:v>3789.33</x:v>
      </x:c>
      <x:c r="G119" s="5" t="n">
        <x:v>95</x:v>
      </x:c>
    </x:row>
    <x:row r="120" ht="22" customHeight="1">
      <x:c r="A120" s="1" t="str">
        <x:v>惠通达渠道</x:v>
      </x:c>
      <x:c r="B120" s="1" t="str">
        <x:v>26Q1</x:v>
      </x:c>
      <x:c r="C120" s="4" t="n">
        <x:v>426284.81</x:v>
      </x:c>
      <x:c r="D120" s="4" t="n">
        <x:v>56505.82</x:v>
      </x:c>
      <x:c r="E120" s="4" t="n">
        <x:v>10245.52</x:v>
      </x:c>
      <x:c r="F120" s="4" t="n">
        <x:v>5140.42</x:v>
      </x:c>
      <x:c r="G120" s="5" t="n">
        <x:v>100</x:v>
      </x:c>
    </x:row>
    <x:row r="121" ht="22" customHeight="1">
      <x:c r="A121" s="1" t="str">
        <x:v>芯联科技店</x:v>
      </x:c>
      <x:c r="B121" s="1" t="str">
        <x:v>25Q1</x:v>
      </x:c>
      <x:c r="C121" s="4" t="n">
        <x:v>1187975.04</x:v>
      </x:c>
      <x:c r="D121" s="4" t="n">
        <x:v>158176.12</x:v>
      </x:c>
      <x:c r="E121" s="4" t="n">
        <x:v>30797.17</x:v>
      </x:c>
      <x:c r="F121" s="4" t="n">
        <x:v>14935.06</x:v>
      </x:c>
      <x:c r="G121" s="5" t="n">
        <x:v>104</x:v>
      </x:c>
    </x:row>
    <x:row r="122" ht="22" customHeight="1">
      <x:c r="A122" s="1" t="str">
        <x:v>芯联科技店</x:v>
      </x:c>
      <x:c r="B122" s="1" t="str">
        <x:v>26Q1</x:v>
      </x:c>
      <x:c r="C122" s="4" t="n">
        <x:v>1430719.4</x:v>
      </x:c>
      <x:c r="D122" s="4" t="n">
        <x:v>180493.96</x:v>
      </x:c>
      <x:c r="E122" s="4" t="n">
        <x:v>32256.95</x:v>
      </x:c>
      <x:c r="F122" s="4" t="n">
        <x:v>18711.09</x:v>
      </x:c>
      <x:c r="G122" s="5" t="n">
        <x:v>82</x:v>
      </x:c>
    </x:row>
    <x:row r="123" ht="22" customHeight="1">
      <x:c r="A123" s="1" t="str">
        <x:v>品胜严选</x:v>
      </x:c>
      <x:c r="B123" s="1" t="str">
        <x:v>25Q1</x:v>
      </x:c>
      <x:c r="C123" s="4" t="n">
        <x:v>597853.96</x:v>
      </x:c>
      <x:c r="D123" s="4" t="n">
        <x:v>81256.03</x:v>
      </x:c>
      <x:c r="E123" s="4" t="n">
        <x:v>13377.11</x:v>
      </x:c>
      <x:c r="F123" s="4" t="n">
        <x:v>7727.34</x:v>
      </x:c>
      <x:c r="G123" s="5" t="n">
        <x:v>96</x:v>
      </x:c>
    </x:row>
    <x:row r="124" ht="22" customHeight="1">
      <x:c r="A124" s="1" t="str">
        <x:v>品胜严选</x:v>
      </x:c>
      <x:c r="B124" s="1" t="str">
        <x:v>26Q1</x:v>
      </x:c>
      <x:c r="C124" s="4" t="n">
        <x:v>718551.76</x:v>
      </x:c>
      <x:c r="D124" s="4" t="n">
        <x:v>98816.37</x:v>
      </x:c>
      <x:c r="E124" s="4" t="n">
        <x:v>17616.29</x:v>
      </x:c>
      <x:c r="F124" s="4" t="n">
        <x:v>9065.46</x:v>
      </x:c>
      <x:c r="G124" s="5" t="n">
        <x:v>111</x:v>
      </x:c>
    </x:row>
    <x:row r="125" ht="22" customHeight="1">
      <x:c r="A125" s="1" t="str">
        <x:v>智汇通数码</x:v>
      </x:c>
      <x:c r="B125" s="1" t="str">
        <x:v>25Q1</x:v>
      </x:c>
      <x:c r="C125" s="4" t="n">
        <x:v>991951.36</x:v>
      </x:c>
      <x:c r="D125" s="4" t="n">
        <x:v>125020.75</x:v>
      </x:c>
      <x:c r="E125" s="4" t="n">
        <x:v>28157.44</x:v>
      </x:c>
      <x:c r="F125" s="4" t="n">
        <x:v>12912.25</x:v>
      </x:c>
      <x:c r="G125" s="5" t="n">
        <x:v>100</x:v>
      </x:c>
    </x:row>
    <x:row r="126" ht="22" customHeight="1">
      <x:c r="A126" s="1" t="str">
        <x:v>智汇通数码</x:v>
      </x:c>
      <x:c r="B126" s="1" t="str">
        <x:v>26Q1</x:v>
      </x:c>
      <x:c r="C126" s="4" t="n">
        <x:v>1034882.3</x:v>
      </x:c>
      <x:c r="D126" s="4" t="n">
        <x:v>127806.39</x:v>
      </x:c>
      <x:c r="E126" s="4" t="n">
        <x:v>26917.94</x:v>
      </x:c>
      <x:c r="F126" s="4" t="n">
        <x:v>12910.92</x:v>
      </x:c>
      <x:c r="G126" s="5" t="n">
        <x:v>103</x:v>
      </x:c>
    </x:row>
    <x:row r="127" ht="22" customHeight="1">
      <x:c r="A127" s="1" t="str">
        <x:v>乐购优品</x:v>
      </x:c>
      <x:c r="B127" s="1" t="str">
        <x:v>25Q1</x:v>
      </x:c>
      <x:c r="C127" s="4" t="n">
        <x:v>463525.6</x:v>
      </x:c>
      <x:c r="D127" s="4" t="n">
        <x:v>55785.09</x:v>
      </x:c>
      <x:c r="E127" s="4" t="n">
        <x:v>12117.98</x:v>
      </x:c>
      <x:c r="F127" s="4" t="n">
        <x:v>5591.13</x:v>
      </x:c>
      <x:c r="G127" s="5" t="n">
        <x:v>103</x:v>
      </x:c>
    </x:row>
    <x:row r="128" ht="22" customHeight="1">
      <x:c r="A128" s="1" t="str">
        <x:v>乐购优品</x:v>
      </x:c>
      <x:c r="B128" s="1" t="str">
        <x:v>26Q1</x:v>
      </x:c>
      <x:c r="C128" s="4" t="n">
        <x:v>510323.35</x:v>
      </x:c>
      <x:c r="D128" s="4" t="n">
        <x:v>66730.42</x:v>
      </x:c>
      <x:c r="E128" s="4" t="n">
        <x:v>11098.95</x:v>
      </x:c>
      <x:c r="F128" s="4" t="n">
        <x:v>6377.43</x:v>
      </x:c>
      <x:c r="G128" s="5" t="n">
        <x:v>102</x:v>
      </x:c>
    </x:row>
    <x:row r="129" ht="22" customHeight="1">
      <x:c r="A129" s="1" t="str">
        <x:v>汇鑫商贸</x:v>
      </x:c>
      <x:c r="B129" s="1" t="str">
        <x:v>25Q1</x:v>
      </x:c>
      <x:c r="C129" s="4" t="n">
        <x:v>1119357</x:v>
      </x:c>
      <x:c r="D129" s="4" t="n">
        <x:v>137292.69</x:v>
      </x:c>
      <x:c r="E129" s="4" t="n">
        <x:v>29022.45</x:v>
      </x:c>
      <x:c r="F129" s="4" t="n">
        <x:v>12974.47</x:v>
      </x:c>
      <x:c r="G129" s="5" t="n">
        <x:v>102</x:v>
      </x:c>
    </x:row>
    <x:row r="130" ht="22" customHeight="1">
      <x:c r="A130" s="1" t="str">
        <x:v>汇鑫商贸</x:v>
      </x:c>
      <x:c r="B130" s="1" t="str">
        <x:v>26Q1</x:v>
      </x:c>
      <x:c r="C130" s="4" t="n">
        <x:v>1270653.69</x:v>
      </x:c>
      <x:c r="D130" s="4" t="n">
        <x:v>159838.99</x:v>
      </x:c>
      <x:c r="E130" s="4" t="n">
        <x:v>33045.31</x:v>
      </x:c>
      <x:c r="F130" s="4" t="n">
        <x:v>16161.06</x:v>
      </x:c>
      <x:c r="G130" s="5" t="n">
        <x:v>85</x:v>
      </x:c>
    </x:row>
    <x:row r="131" ht="22" customHeight="1">
      <x:c r="A131" s="1" t="str">
        <x:v>凯瑞电商</x:v>
      </x:c>
      <x:c r="B131" s="1" t="str">
        <x:v>25Q1</x:v>
      </x:c>
      <x:c r="C131" s="4" t="n">
        <x:v>399527.94</x:v>
      </x:c>
      <x:c r="D131" s="4" t="n">
        <x:v>53738.23</x:v>
      </x:c>
      <x:c r="E131" s="4" t="n">
        <x:v>9390.51</x:v>
      </x:c>
      <x:c r="F131" s="4" t="n">
        <x:v>5242.15</x:v>
      </x:c>
      <x:c r="G131" s="5" t="n">
        <x:v>102</x:v>
      </x:c>
    </x:row>
    <x:row r="132" ht="22" customHeight="1">
      <x:c r="A132" s="1" t="str">
        <x:v>凯瑞电商</x:v>
      </x:c>
      <x:c r="B132" s="1" t="str">
        <x:v>26Q1</x:v>
      </x:c>
      <x:c r="C132" s="4" t="n">
        <x:v>473261.99</x:v>
      </x:c>
      <x:c r="D132" s="4" t="n">
        <x:v>58890.45</x:v>
      </x:c>
      <x:c r="E132" s="4" t="n">
        <x:v>10958.26</x:v>
      </x:c>
      <x:c r="F132" s="4" t="n">
        <x:v>7219.73</x:v>
      </x:c>
      <x:c r="G132" s="5" t="n">
        <x:v>96</x:v>
      </x:c>
    </x:row>
    <x:row r="133" ht="22" customHeight="1">
      <x:c r="A133" s="1" t="str">
        <x:v>尚品优选</x:v>
      </x:c>
      <x:c r="B133" s="1" t="str">
        <x:v>25Q1</x:v>
      </x:c>
      <x:c r="C133" s="4" t="n">
        <x:v>1140482.22</x:v>
      </x:c>
      <x:c r="D133" s="4" t="n">
        <x:v>153760.88</x:v>
      </x:c>
      <x:c r="E133" s="4" t="n">
        <x:v>31484.94</x:v>
      </x:c>
      <x:c r="F133" s="4" t="n">
        <x:v>15771.95</x:v>
      </x:c>
      <x:c r="G133" s="5" t="n">
        <x:v>111</x:v>
      </x:c>
    </x:row>
    <x:row r="134" ht="22" customHeight="1">
      <x:c r="A134" s="1" t="str">
        <x:v>尚品优选</x:v>
      </x:c>
      <x:c r="B134" s="1" t="str">
        <x:v>26Q1</x:v>
      </x:c>
      <x:c r="C134" s="4" t="n">
        <x:v>1230846.34</x:v>
      </x:c>
      <x:c r="D134" s="4" t="n">
        <x:v>174369.28</x:v>
      </x:c>
      <x:c r="E134" s="4" t="n">
        <x:v>33643.52</x:v>
      </x:c>
      <x:c r="F134" s="4" t="n">
        <x:v>14176.99</x:v>
      </x:c>
      <x:c r="G134" s="5" t="n">
        <x:v>70</x:v>
      </x:c>
    </x:row>
    <x:row r="135" ht="22" customHeight="1">
      <x:c r="A135" s="1" t="str">
        <x:v>环球数码城</x:v>
      </x:c>
      <x:c r="B135" s="1" t="str">
        <x:v>25Q1</x:v>
      </x:c>
      <x:c r="C135" s="4" t="n">
        <x:v>622576.08</x:v>
      </x:c>
      <x:c r="D135" s="4" t="n">
        <x:v>77040</x:v>
      </x:c>
      <x:c r="E135" s="4" t="n">
        <x:v>15693.02</x:v>
      </x:c>
      <x:c r="F135" s="4" t="n">
        <x:v>8301.2</x:v>
      </x:c>
      <x:c r="G135" s="5" t="n">
        <x:v>102</x:v>
      </x:c>
    </x:row>
    <x:row r="136" ht="22" customHeight="1">
      <x:c r="A136" s="1" t="str">
        <x:v>环球数码城</x:v>
      </x:c>
      <x:c r="B136" s="1" t="str">
        <x:v>26Q1</x:v>
      </x:c>
      <x:c r="C136" s="4" t="n">
        <x:v>710914.19</x:v>
      </x:c>
      <x:c r="D136" s="4" t="n">
        <x:v>94600.54</x:v>
      </x:c>
      <x:c r="E136" s="4" t="n">
        <x:v>17559.86</x:v>
      </x:c>
      <x:c r="F136" s="4" t="n">
        <x:v>9535.35</x:v>
      </x:c>
      <x:c r="G136" s="5" t="n">
        <x:v>108</x:v>
      </x:c>
    </x:row>
    <x:row r="137" ht="22" customHeight="1">
      <x:c r="A137" s="1"/>
      <x:c r="B137" s="1"/>
      <x:c r="C137" s="1"/>
      <x:c r="D137" s="1"/>
      <x:c r="E137" s="1"/>
      <x:c r="F137" s="1"/>
      <x:c r="G137" s="1"/>
    </x:row>
    <x:row r="138" ht="22" customHeight="1">
      <x:c r="A138" s="1"/>
      <x:c r="B138" s="1"/>
      <x:c r="C138" s="1"/>
      <x:c r="D138" s="1"/>
      <x:c r="E138" s="1"/>
      <x:c r="F138" s="1"/>
      <x:c r="G138" s="1"/>
    </x:row>
    <x:row r="139" ht="22" customHeight="1">
      <x:c r="A139" s="1"/>
      <x:c r="B139" s="1"/>
      <x:c r="C139" s="1"/>
      <x:c r="D139" s="1"/>
      <x:c r="E139" s="1"/>
      <x:c r="F139" s="1"/>
      <x:c r="G139" s="1"/>
    </x:row>
    <x:row r="140" ht="22" customHeight="1">
      <x:c r="A140" s="1"/>
      <x:c r="B140" s="1"/>
      <x:c r="C140" s="1"/>
      <x:c r="D140" s="1"/>
      <x:c r="E140" s="1"/>
      <x:c r="F140" s="1"/>
      <x:c r="G140" s="1"/>
    </x:row>
  </x:sheetData>
  <x:pageMargins left="0.7" right="0.7" top="0.75" bottom="0.75" header="0.3" footer="0.3"/>
</x:worksheet>
</file>