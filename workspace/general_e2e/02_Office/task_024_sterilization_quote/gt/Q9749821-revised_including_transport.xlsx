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f0ba3d6a9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ad1" sheetId="1" r:id="R7fead7afa074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12">
    <x:font>
      <x:sz val="10"/>
      <x:color rgb="FF000000"/>
      <x:name val="Arial"/>
      <x:scheme val="minor"/>
    </x:font>
    <x:font>
      <x:sz val="11"/>
      <x:color theme="1"/>
      <x:name val="Lexend"/>
    </x:font>
    <x:font>
      <x:b/>
      <x:sz val="11"/>
      <x:color theme="1"/>
      <x:name val="Lexend"/>
    </x:font>
    <x:font>
      <x:sz val="11"/>
      <x:color rgb="FF000000"/>
      <x:name val="Lexend"/>
    </x:font>
    <x:font>
      <x:sz val="10"/>
      <x:color theme="1"/>
      <x:name val="Lexend"/>
    </x:font>
    <x:font>
      <x:sz val="10"/>
      <x:color theme="1"/>
      <x:name val="Arial"/>
    </x:font>
    <x:font>
      <x:sz val="11"/>
      <x:color rgb="FF172B3A"/>
      <x:name val="Arial"/>
    </x:font>
    <x:font>
      <x:b/>
      <x:sz val="11"/>
      <x:color rgb="FF172B3A"/>
      <x:name val="Arial"/>
    </x:font>
    <x:font>
      <x:b/>
      <x:sz val="16"/>
      <x:color rgb="FF172B3A"/>
      <x:name val="Arial"/>
    </x:font>
    <x:font>
      <x:b/>
      <x:sz val="11"/>
      <x:color rgb="FFFFFFFF"/>
      <x:name val="Arial"/>
    </x:font>
    <x:font>
      <x:sz val="11"/>
      <x:color rgb="FF9C3025"/>
      <x:name val="Arial"/>
    </x:font>
    <x:font>
      <x:sz val="11"/>
      <x:color rgb="FF172B3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C56"/>
      </x:patternFill>
    </x:fill>
    <x:fill>
      <x:patternFill patternType="solid">
        <x:fgColor rgb="FFEFF5F7"/>
      </x:patternFill>
    </x:fill>
  </x:fills>
  <x:borders count="6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59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1" fillId="0" borderId="2" xfId="0" applyFont="1" applyBorder="1"/>
    <x:xf numFmtId="0" fontId="1" fillId="0" borderId="3" xfId="0" applyFont="1" applyBorder="1"/>
    <x:xf numFmtId="49" fontId="1" fillId="0" borderId="0" xfId="0" applyNumberFormat="1" applyFont="1" applyAlignment="1">
      <x:alignment vertical="top"/>
    </x:xf>
    <x:xf numFmtId="0" fontId="1" fillId="0" borderId="0" xfId="0" applyFont="1" applyAlignment="1">
      <x:alignment vertical="top"/>
    </x:xf>
    <x:xf numFmtId="4" fontId="1" fillId="0" borderId="0" xfId="0" applyNumberFormat="1" applyFont="1" applyAlignment="1">
      <x:alignment vertical="top"/>
    </x:xf>
    <x:xf numFmtId="4" fontId="1" fillId="0" borderId="1" xfId="0" applyNumberFormat="1" applyFont="1" applyBorder="1" applyAlignment="1">
      <x:alignment vertical="top"/>
    </x:xf>
    <x:xf numFmtId="49" fontId="2" fillId="0" borderId="2" xfId="0" applyNumberFormat="1" applyFont="1" applyBorder="1" applyAlignment="1">
      <x:alignment wrapText="1"/>
    </x:xf>
    <x:xf numFmtId="0" fontId="2" fillId="0" borderId="2" xfId="0" applyFont="1" applyBorder="1" applyAlignment="1">
      <x:alignment horizontal="right"/>
    </x:xf>
    <x:xf numFmtId="0" fontId="2" fillId="0" borderId="2" xfId="0" applyFont="1" applyBorder="1" applyAlignment="1">
      <x:alignment wrapText="1"/>
    </x:xf>
    <x:xf numFmtId="4" fontId="2" fillId="0" borderId="2" xfId="0" applyNumberFormat="1" applyFont="1" applyBorder="1" applyAlignment="1">
      <x:alignment horizontal="right" wrapText="1"/>
    </x:xf>
    <x:xf numFmtId="4" fontId="2" fillId="0" borderId="3" xfId="0" applyNumberFormat="1" applyFont="1" applyBorder="1" applyAlignment="1">
      <x:alignment horizontal="right" wrapText="1"/>
    </x:xf>
    <x:xf numFmtId="0" fontId="1" fillId="0" borderId="0" xfId="0" applyFont="1" applyAlignment="1">
      <x:alignment horizontal="right" vertical="top"/>
    </x:xf>
    <x:xf numFmtId="0" fontId="1" fillId="0" borderId="0" xfId="0" applyFont="1" applyAlignment="1">
      <x:alignment vertical="top" wrapText="1"/>
    </x:xf>
    <x:xf numFmtId="4" fontId="1" fillId="0" borderId="0" xfId="0" applyNumberFormat="1" applyFont="1" applyAlignment="1">
      <x:alignment horizontal="right" vertical="top"/>
    </x:xf>
    <x:xf numFmtId="4" fontId="1" fillId="0" borderId="1" xfId="0" applyNumberFormat="1" applyFont="1" applyBorder="1" applyAlignment="1">
      <x:alignment horizontal="right" vertical="top"/>
    </x:xf>
    <x:xf numFmtId="49" fontId="1" fillId="0" borderId="0" xfId="0" applyNumberFormat="1" applyFont="1" applyAlignment="1">
      <x:alignment vertical="top" wrapText="1"/>
    </x:xf>
    <x:xf numFmtId="0" fontId="3" fillId="0" borderId="0" xfId="0" applyFont="1"/>
    <x:xf numFmtId="49" fontId="1" fillId="0" borderId="4" xfId="0" applyNumberFormat="1" applyFont="1" applyBorder="1" applyAlignment="1">
      <x:alignment vertical="top"/>
    </x:xf>
    <x:xf numFmtId="0" fontId="3" fillId="0" borderId="4" xfId="0" applyFont="1" applyBorder="1"/>
    <x:xf numFmtId="0" fontId="1" fillId="0" borderId="4" xfId="0" applyFont="1" applyBorder="1" applyAlignment="1">
      <x:alignment vertical="top" wrapText="1"/>
    </x:xf>
    <x:xf numFmtId="4" fontId="1" fillId="0" borderId="4" xfId="0" applyNumberFormat="1" applyFont="1" applyBorder="1" applyAlignment="1">
      <x:alignment horizontal="right" vertical="top"/>
    </x:xf>
    <x:xf numFmtId="4" fontId="1" fillId="0" borderId="5" xfId="0" applyNumberFormat="1" applyFont="1" applyBorder="1" applyAlignment="1">
      <x:alignment horizontal="right" vertical="top"/>
    </x:xf>
    <x:xf numFmtId="4" fontId="2" fillId="0" borderId="0" xfId="0" applyNumberFormat="1" applyFont="1" applyAlignment="1">
      <x:alignment horizontal="right" vertical="top"/>
    </x:xf>
    <x:xf numFmtId="4" fontId="2" fillId="0" borderId="1" xfId="0" applyNumberFormat="1" applyFont="1" applyBorder="1" applyAlignment="1">
      <x:alignment horizontal="right" vertical="top"/>
    </x:xf>
    <x:xf numFmtId="49" fontId="2" fillId="0" borderId="0" xfId="0" applyNumberFormat="1" applyFont="1" applyAlignment="1">
      <x:alignment vertical="top" wrapText="1"/>
    </x:xf>
    <x:xf numFmtId="0" fontId="2" fillId="0" borderId="0" xfId="0" applyFont="1" applyAlignment="1">
      <x:alignment vertical="top" wrapText="1"/>
    </x:xf>
    <x:xf numFmtId="49" fontId="4" fillId="0" borderId="4" xfId="0" applyNumberFormat="1" applyFont="1" applyBorder="1" applyAlignment="1">
      <x:alignment vertical="top"/>
    </x:xf>
    <x:xf numFmtId="0" fontId="4" fillId="0" borderId="4" xfId="0" applyFont="1" applyBorder="1" applyAlignment="1">
      <x:alignment horizontal="right" vertical="top"/>
    </x:xf>
    <x:xf numFmtId="0" fontId="4" fillId="0" borderId="4" xfId="0" applyFont="1" applyBorder="1" applyAlignment="1">
      <x:alignment vertical="top" wrapText="1"/>
    </x:xf>
    <x:xf numFmtId="4" fontId="4" fillId="0" borderId="4" xfId="0" applyNumberFormat="1" applyFont="1" applyBorder="1" applyAlignment="1">
      <x:alignment horizontal="right" vertical="top"/>
    </x:xf>
    <x:xf numFmtId="4" fontId="4" fillId="0" borderId="5" xfId="0" applyNumberFormat="1" applyFont="1" applyBorder="1" applyAlignment="1">
      <x:alignment horizontal="right" vertical="top"/>
    </x:xf>
    <x:xf numFmtId="49" fontId="4" fillId="0" borderId="4" xfId="0" applyNumberFormat="1" applyFont="1" applyBorder="1" applyAlignment="1">
      <x:alignment vertical="top" wrapText="1"/>
    </x:xf>
    <x:xf numFmtId="49" fontId="5" fillId="0" borderId="0" xfId="0" applyNumberFormat="1" applyFont="1" applyAlignment="1">
      <x:alignment vertical="top"/>
    </x:xf>
    <x:xf numFmtId="0" fontId="5" fillId="0" borderId="0" xfId="0" applyFont="1" applyAlignment="1">
      <x:alignment horizontal="right" vertical="top"/>
    </x:xf>
    <x:xf numFmtId="0" fontId="5" fillId="0" borderId="0" xfId="0" applyFont="1" applyAlignment="1">
      <x:alignment vertical="top" wrapText="1"/>
    </x:xf>
    <x:xf numFmtId="4" fontId="5" fillId="0" borderId="0" xfId="0" applyNumberFormat="1" applyFont="1" applyAlignment="1">
      <x:alignment horizontal="right" vertical="top"/>
    </x:xf>
    <x:xf numFmtId="49" fontId="5" fillId="0" borderId="0" xfId="0" applyNumberFormat="1" applyFont="1" applyAlignment="1">
      <x:alignment vertical="top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49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4" fontId="6" fillId="0" borderId="0" xfId="0" applyNumberFormat="1" applyFont="1" applyFill="1" applyBorder="1" applyAlignment="1">
      <x:alignment vertical="top"/>
    </x:xf>
    <x:xf numFmtId="4" fontId="6" fillId="0" borderId="1" xfId="0" applyNumberFormat="1" applyFont="1" applyFill="1" applyBorder="1" applyAlignment="1">
      <x:alignment vertical="top"/>
    </x:xf>
    <x:xf numFmtId="49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horizontal="right"/>
    </x:xf>
    <x:xf numFmtId="0" fontId="7" fillId="0" borderId="2" xfId="0" applyNumberFormat="1" applyFont="1" applyFill="1" applyBorder="1" applyAlignment="1">
      <x:alignment wrapText="1"/>
    </x:xf>
    <x:xf numFmtId="4" fontId="7" fillId="0" borderId="2" xfId="0" applyNumberFormat="1" applyFont="1" applyFill="1" applyBorder="1" applyAlignment="1">
      <x:alignment horizontal="right" wrapText="1"/>
    </x:xf>
    <x:xf numFmtId="4" fontId="7" fillId="0" borderId="3" xfId="0" applyNumberFormat="1" applyFont="1" applyFill="1" applyBorder="1" applyAlignment="1">
      <x:alignment horizontal="right" wrapText="1"/>
    </x:xf>
    <x:xf numFmtId="0" fontId="6" fillId="0" borderId="0" xfId="0" applyNumberFormat="1" applyFont="1" applyFill="1" applyBorder="1" applyAlignment="1">
      <x:alignment horizontal="right" vertical="top"/>
    </x:xf>
    <x:xf numFmtId="0" fontId="6" fillId="0" borderId="0" xfId="0" applyNumberFormat="1" applyFont="1" applyFill="1" applyBorder="1" applyAlignment="1">
      <x:alignment vertical="top" wrapText="1"/>
    </x:xf>
    <x:xf numFmtId="4" fontId="6" fillId="0" borderId="0" xfId="0" applyNumberFormat="1" applyFont="1" applyFill="1" applyBorder="1" applyAlignment="1">
      <x:alignment horizontal="right" vertical="top"/>
    </x:xf>
    <x:xf numFmtId="4" fontId="6" fillId="0" borderId="1" xfId="0" applyNumberFormat="1" applyFont="1" applyFill="1" applyBorder="1" applyAlignment="1">
      <x:alignment horizontal="right" vertical="top"/>
    </x:xf>
    <x:xf numFmtId="49" fontId="6" fillId="0" borderId="0" xfId="0" applyNumberFormat="1" applyFont="1" applyFill="1" applyBorder="1" applyAlignment="1">
      <x:alignment vertical="top" wrapText="1"/>
    </x:xf>
    <x:xf numFmtId="49" fontId="6" fillId="0" borderId="4" xfId="0" applyNumberFormat="1" applyFont="1" applyFill="1" applyBorder="1" applyAlignment="1">
      <x:alignment vertical="top"/>
    </x:xf>
    <x:xf numFmtId="0" fontId="6" fillId="0" borderId="4" xfId="0" applyNumberFormat="1" applyFont="1" applyFill="1" applyBorder="1"/>
    <x:xf numFmtId="0" fontId="6" fillId="0" borderId="4" xfId="0" applyNumberFormat="1" applyFont="1" applyFill="1" applyBorder="1" applyAlignment="1">
      <x:alignment vertical="top" wrapText="1"/>
    </x:xf>
    <x:xf numFmtId="4" fontId="6" fillId="0" borderId="4" xfId="0" applyNumberFormat="1" applyFont="1" applyFill="1" applyBorder="1" applyAlignment="1">
      <x:alignment horizontal="right" vertical="top"/>
    </x:xf>
    <x:xf numFmtId="4" fontId="6" fillId="0" borderId="5" xfId="0" applyNumberFormat="1" applyFont="1" applyFill="1" applyBorder="1" applyAlignment="1">
      <x:alignment horizontal="right" vertical="top"/>
    </x:xf>
    <x:xf numFmtId="4" fontId="7" fillId="0" borderId="0" xfId="0" applyNumberFormat="1" applyFont="1" applyFill="1" applyBorder="1" applyAlignment="1">
      <x:alignment horizontal="right" vertical="top"/>
    </x:xf>
    <x:xf numFmtId="4" fontId="7" fillId="0" borderId="1" xfId="0" applyNumberFormat="1" applyFont="1" applyFill="1" applyBorder="1" applyAlignment="1">
      <x:alignment horizontal="right" vertical="top"/>
    </x:xf>
    <x:xf numFmtId="49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horizontal="right" vertical="top"/>
    </x:xf>
    <x:xf numFmtId="49" fontId="6" fillId="0" borderId="4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49" fontId="6" fillId="0" borderId="0" xfId="0" applyNumberFormat="1" applyFont="1" applyFill="1" applyBorder="1" applyAlignment="1">
      <x:alignment vertical="center"/>
    </x:xf>
    <x:xf numFmtId="4" fontId="6" fillId="0" borderId="0" xfId="0" applyNumberFormat="1" applyFont="1" applyFill="1" applyBorder="1" applyAlignment="1">
      <x:alignment vertical="center"/>
    </x:xf>
    <x:xf numFmtId="4" fontId="6" fillId="0" borderId="1" xfId="0" applyNumberFormat="1" applyFont="1" applyFill="1" applyBorder="1" applyAlignment="1">
      <x:alignment vertical="center"/>
    </x:xf>
    <x:xf numFmtId="49" fontId="7" fillId="0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right" vertical="center"/>
    </x:xf>
    <x:xf numFmtId="0" fontId="7" fillId="0" borderId="2" xfId="0" applyNumberFormat="1" applyFont="1" applyFill="1" applyBorder="1" applyAlignment="1">
      <x:alignment vertical="center" wrapText="1"/>
    </x:xf>
    <x:xf numFmtId="4" fontId="7" fillId="0" borderId="2" xfId="0" applyNumberFormat="1" applyFont="1" applyFill="1" applyBorder="1" applyAlignment="1">
      <x:alignment horizontal="right" vertical="center" wrapText="1"/>
    </x:xf>
    <x:xf numFmtId="4" fontId="7" fillId="0" borderId="3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 wrapText="1"/>
    </x:xf>
    <x:xf numFmtId="4" fontId="6" fillId="0" borderId="0" xfId="0" applyNumberFormat="1" applyFont="1" applyFill="1" applyBorder="1" applyAlignment="1">
      <x:alignment horizontal="right" vertical="center"/>
    </x:xf>
    <x:xf numFmtId="4" fontId="6" fillId="0" borderId="1" xfId="0" applyNumberFormat="1" applyFont="1" applyFill="1" applyBorder="1" applyAlignment="1">
      <x:alignment horizontal="right" vertical="center"/>
    </x:xf>
    <x:xf numFmtId="49" fontId="6" fillId="0" borderId="0" xfId="0" applyNumberFormat="1" applyFont="1" applyFill="1" applyBorder="1" applyAlignment="1">
      <x:alignment vertical="center" wrapText="1"/>
    </x:xf>
    <x:xf numFmtId="49" fontId="6" fillId="0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 wrapText="1"/>
    </x:xf>
    <x:xf numFmtId="4" fontId="6" fillId="0" borderId="4" xfId="0" applyNumberFormat="1" applyFont="1" applyFill="1" applyBorder="1" applyAlignment="1">
      <x:alignment horizontal="right" vertical="center"/>
    </x:xf>
    <x:xf numFmtId="4" fontId="6" fillId="0" borderId="5" xfId="0" applyNumberFormat="1" applyFont="1" applyFill="1" applyBorder="1" applyAlignment="1">
      <x:alignment horizontal="right" vertical="center"/>
    </x:xf>
    <x:xf numFmtId="4" fontId="7" fillId="0" borderId="0" xfId="0" applyNumberFormat="1" applyFont="1" applyFill="1" applyBorder="1" applyAlignment="1">
      <x:alignment horizontal="right" vertical="center"/>
    </x:xf>
    <x:xf numFmtId="4" fontId="7" fillId="0" borderId="1" xfId="0" applyNumberFormat="1" applyFont="1" applyFill="1" applyBorder="1" applyAlignment="1">
      <x:alignment horizontal="right" vertical="center"/>
    </x:xf>
    <x:xf numFmtId="49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horizontal="right" vertical="center"/>
    </x:xf>
    <x:xf numFmtId="49" fontId="6" fillId="0" borderId="4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right" vertical="center" wrapText="1"/>
    </x:xf>
    <x:xf numFmtId="4" fontId="6" fillId="0" borderId="0" xfId="0" applyNumberFormat="1" applyFont="1" applyFill="1" applyBorder="1" applyAlignment="1">
      <x:alignment horizontal="right" vertical="center" wrapText="1"/>
    </x:xf>
    <x:xf numFmtId="0" fontId="7" fillId="0" borderId="2" xfId="0" applyNumberFormat="1" applyFont="1" applyFill="1" applyBorder="1" applyAlignment="1">
      <x:alignment horizontal="right" vertical="center" wrapText="1"/>
    </x:xf>
    <x:xf numFmtId="4" fontId="6" fillId="0" borderId="1" xfId="0" applyNumberFormat="1" applyFont="1" applyFill="1" applyBorder="1" applyAlignment="1">
      <x:alignment horizontal="right" vertical="center" wrapText="1"/>
    </x:xf>
    <x:xf numFmtId="49" fontId="7" fillId="2" borderId="2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horizontal="right" vertical="center" wrapText="1"/>
    </x:xf>
    <x:xf numFmtId="0" fontId="7" fillId="2" borderId="2" xfId="0" applyNumberFormat="1" applyFont="1" applyFill="1" applyBorder="1" applyAlignment="1">
      <x:alignment vertical="center" wrapText="1"/>
    </x:xf>
    <x:xf numFmtId="4" fontId="7" fillId="2" borderId="2" xfId="0" applyNumberFormat="1" applyFont="1" applyFill="1" applyBorder="1" applyAlignment="1">
      <x:alignment horizontal="right" vertical="center" wrapText="1"/>
    </x:xf>
    <x:xf numFmtId="4" fontId="7" fillId="2" borderId="3" xfId="0" applyNumberFormat="1" applyFont="1" applyFill="1" applyBorder="1" applyAlignment="1">
      <x:alignment horizontal="right" vertical="center" wrapText="1"/>
    </x:xf>
    <x:xf numFmtId="49" fontId="9" fillId="2" borderId="2" xfId="0" applyNumberFormat="1" applyFont="1" applyFill="1" applyBorder="1" applyAlignment="1">
      <x:alignment vertical="center" wrapText="1"/>
    </x:xf>
    <x:xf numFmtId="0" fontId="9" fillId="2" borderId="2" xfId="0" applyNumberFormat="1" applyFont="1" applyFill="1" applyBorder="1" applyAlignment="1">
      <x:alignment horizontal="right" vertical="center" wrapText="1"/>
    </x:xf>
    <x:xf numFmtId="0" fontId="9" fillId="2" borderId="2" xfId="0" applyNumberFormat="1" applyFont="1" applyFill="1" applyBorder="1" applyAlignment="1">
      <x:alignment vertical="center" wrapText="1"/>
    </x:xf>
    <x:xf numFmtId="4" fontId="9" fillId="2" borderId="2" xfId="0" applyNumberFormat="1" applyFont="1" applyFill="1" applyBorder="1" applyAlignment="1">
      <x:alignment horizontal="right" vertical="center" wrapText="1"/>
    </x:xf>
    <x:xf numFmtId="4" fontId="9" fillId="2" borderId="3" xfId="0" applyNumberFormat="1" applyFont="1" applyFill="1" applyBorder="1" applyAlignment="1">
      <x:alignment horizontal="right" vertical="center" wrapText="1"/>
    </x:xf>
    <x:xf numFmtId="49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4" fontId="6" fillId="2" borderId="0" xfId="0" applyNumberFormat="1" applyFont="1" applyFill="1" applyBorder="1" applyAlignment="1">
      <x:alignment horizontal="right" vertical="center" wrapText="1"/>
    </x:xf>
    <x:xf numFmtId="4" fontId="6" fillId="2" borderId="1" xfId="0" applyNumberFormat="1" applyFont="1" applyFill="1" applyBorder="1" applyAlignment="1">
      <x:alignment horizontal="right" vertical="center" wrapText="1"/>
    </x:xf>
    <x:xf numFmtId="49" fontId="9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4" fontId="9" fillId="2" borderId="0" xfId="0" applyNumberFormat="1" applyFont="1" applyFill="1" applyBorder="1" applyAlignment="1">
      <x:alignment horizontal="right" vertical="center" wrapText="1"/>
    </x:xf>
    <x:xf numFmtId="4" fontId="9" fillId="2" borderId="1" xfId="0" applyNumberFormat="1" applyFont="1" applyFill="1" applyBorder="1" applyAlignment="1">
      <x:alignment horizontal="right" vertical="center" wrapText="1"/>
    </x:xf>
    <x:xf numFmtId="49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4" fontId="6" fillId="3" borderId="0" xfId="0" applyNumberFormat="1" applyFont="1" applyFill="1" applyBorder="1" applyAlignment="1">
      <x:alignment horizontal="right" vertical="center" wrapText="1"/>
    </x:xf>
    <x:xf numFmtId="4" fontId="6" fillId="3" borderId="1" xfId="0" applyNumberFormat="1" applyFont="1" applyFill="1" applyBorder="1" applyAlignment="1">
      <x:alignment horizontal="right" vertical="center" wrapText="1"/>
    </x:xf>
    <x:xf numFmtId="200" fontId="6" fillId="0" borderId="0" xfId="0" applyNumberFormat="1" applyFont="1" applyFill="1" applyBorder="1" applyAlignment="1">
      <x:alignment horizontal="right" vertical="center" wrapText="1"/>
    </x:xf>
    <x:xf numFmtId="200" fontId="6" fillId="0" borderId="1" xfId="0" applyNumberFormat="1" applyFont="1" applyFill="1" applyBorder="1" applyAlignment="1">
      <x:alignment horizontal="right" vertical="center" wrapText="1"/>
    </x:xf>
    <x:xf numFmtId="200" fontId="6" fillId="0" borderId="0" xfId="0" applyNumberFormat="1" applyFont="1" applyFill="1" applyBorder="1" applyAlignment="1">
      <x:alignment horizontal="right" vertical="center"/>
    </x:xf>
    <x:xf numFmtId="200" fontId="6" fillId="0" borderId="1" xfId="0" applyNumberFormat="1" applyFont="1" applyFill="1" applyBorder="1" applyAlignment="1">
      <x:alignment horizontal="right" vertical="center"/>
    </x:xf>
    <x:xf numFmtId="200" fontId="6" fillId="0" borderId="4" xfId="0" applyNumberFormat="1" applyFont="1" applyFill="1" applyBorder="1" applyAlignment="1">
      <x:alignment horizontal="right" vertical="center"/>
    </x:xf>
    <x:xf numFmtId="200" fontId="6" fillId="0" borderId="5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0" fontId="7" fillId="0" borderId="1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0" fontId="6" fillId="3" borderId="1" xfId="0" applyNumberFormat="1" applyFont="1" applyFill="1" applyBorder="1" applyAlignment="1">
      <x:alignment horizontal="right" vertical="center" wrapText="1"/>
    </x:xf>
    <x:xf numFmtId="49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right" vertical="center"/>
    </x:xf>
    <x:xf numFmtId="49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horizontal="right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4" fontId="10" fillId="0" borderId="0" xfId="0" applyNumberFormat="1" applyFont="1" applyFill="1" applyBorder="1" applyAlignment="1">
      <x:alignment horizontal="right" vertical="center" wrapText="1"/>
    </x:xf>
    <x:xf numFmtId="49" fontId="9" fillId="2" borderId="2" xfId="0" applyNumberFormat="1" applyFont="1" applyFill="1" applyBorder="1" applyAlignment="1">
      <x:alignment horizontal="center" vertical="center" wrapText="1"/>
    </x:xf>
    <x:xf numFmtId="0" fontId="9" fillId="2" borderId="2" xfId="0" applyNumberFormat="1" applyFont="1" applyFill="1" applyBorder="1" applyAlignment="1">
      <x:alignment horizontal="center" vertical="center" wrapText="1"/>
    </x:xf>
    <x:xf numFmtId="4" fontId="9" fillId="2" borderId="2" xfId="0" applyNumberFormat="1" applyFont="1" applyFill="1" applyBorder="1" applyAlignment="1">
      <x:alignment horizontal="center" vertical="center" wrapText="1"/>
    </x:xf>
    <x:xf numFmtId="4" fontId="9" fillId="2" borderId="3" xfId="0" applyNumberFormat="1" applyFont="1" applyFill="1" applyBorder="1" applyAlignment="1">
      <x:alignment horizontal="center" vertical="center" wrapText="1"/>
    </x:xf>
    <x:xf numFmtId="49" fontId="9" fillId="2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4" fontId="9" fillId="2" borderId="0" xfId="0" applyNumberFormat="1" applyFont="1" applyFill="1" applyBorder="1" applyAlignment="1">
      <x:alignment horizontal="center" vertical="center" wrapText="1"/>
    </x:xf>
    <x:xf numFmtId="4" fontId="9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4" fontId="6" fillId="0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4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horizontal="left" vertical="center" wrapText="1"/>
    </x:xf>
    <x:xf numFmtId="200" fontId="11" fillId="0" borderId="0" xfId="0" applyNumberFormat="1" applyFont="1" applyFill="1" applyBorder="1" applyAlignment="1">
      <x:alignment vertical="center" wrapText="1"/>
    </x:xf>
    <x:xf numFmtId="200" fontId="1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a49a003334eb4" /><Relationship Type="http://schemas.openxmlformats.org/officeDocument/2006/relationships/theme" Target="/xl/theme/theme1.xml" Id="Rf54b83edb97c49aa" /><Relationship Type="http://schemas.openxmlformats.org/officeDocument/2006/relationships/sharedStrings" Target="/xl/sharedStrings.xml" Id="Rfeb4819a393e4a36" /><Relationship Type="http://schemas.openxmlformats.org/officeDocument/2006/relationships/worksheet" Target="/xl/worksheets/sheet1.xml" Id="R7fead7afa074422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28125" defaultRowHeight="15.75"/>
  <x:cols>
    <x:col min="1" max="1" width="16" hidden="0" customWidth="1"/>
    <x:col min="2" max="2" width="26" hidden="0" customWidth="1"/>
    <x:col min="3" max="3" width="35" hidden="0" customWidth="1"/>
    <x:col min="4" max="4" width="22" hidden="0" customWidth="1"/>
    <x:col min="5" max="5" width="22" hidden="0" customWidth="1"/>
    <x:col min="7" max="7" width="57" hidden="0" customWidth="1"/>
    <x:col min="6" max="6" width="22" hidden="0" customWidth="1"/>
  </x:cols>
  <x:sheetData>
    <x:row r="1" ht="23" customHeight="1">
      <x:c r="A1" s="97" t="str">
        <x:v>Danish Wholesale &amp; Co.</x:v>
      </x:c>
      <x:c r="B1" s="69"/>
      <x:c r="C1" s="69"/>
      <x:c r="D1" s="69"/>
      <x:c r="E1" s="69"/>
      <x:c r="F1" s="70"/>
      <x:c r="G1" s="69" t="str">
        <x:v>Client: Health NGO</x:v>
      </x:c>
    </x:row>
    <x:row r="2" ht="23" customHeight="1">
      <x:c r="A2" s="69" t="str">
        <x:v>Q9749821</x:v>
      </x:c>
      <x:c r="B2" s="69"/>
      <x:c r="C2" s="69"/>
      <x:c r="D2" s="69"/>
      <x:c r="E2" s="69"/>
      <x:c r="F2" s="70"/>
      <x:c r="G2" s="69"/>
    </x:row>
    <x:row r="3" ht="23" customHeight="1">
      <x:c r="A3" s="69"/>
      <x:c r="B3" s="69"/>
      <x:c r="C3" s="69"/>
      <x:c r="D3" s="69"/>
      <x:c r="E3" s="69"/>
      <x:c r="F3" s="70"/>
      <x:c r="G3" s="69"/>
    </x:row>
    <x:row r="4" ht="23" customHeight="1">
      <x:c r="A4" s="71"/>
      <x:c r="B4" s="71"/>
      <x:c r="C4" s="71"/>
      <x:c r="D4" s="71"/>
      <x:c r="E4" s="71"/>
      <x:c r="F4" s="72"/>
      <x:c r="G4" s="71"/>
    </x:row>
    <x:row r="5" ht="23" customHeight="1">
      <x:c r="A5" s="69"/>
      <x:c r="B5" s="69"/>
      <x:c r="C5" s="69"/>
      <x:c r="D5" s="69"/>
      <x:c r="E5" s="69"/>
      <x:c r="F5" s="70"/>
      <x:c r="G5" s="69"/>
    </x:row>
    <x:row r="6" ht="23" customHeight="1">
      <x:c r="A6" s="69"/>
      <x:c r="B6" s="69"/>
      <x:c r="C6" s="69"/>
      <x:c r="D6" s="69"/>
      <x:c r="E6" s="69"/>
      <x:c r="F6" s="70"/>
      <x:c r="G6" s="69"/>
    </x:row>
    <x:row r="7" ht="23" customHeight="1">
      <x:c r="A7" s="69" t="str">
        <x:v>Destination country:</x:v>
      </x:c>
      <x:c r="B7" s="69"/>
      <x:c r="C7" s="69"/>
      <x:c r="D7" s="69"/>
      <x:c r="E7" s="69"/>
      <x:c r="F7" s="70"/>
      <x:c r="G7" s="69"/>
    </x:row>
    <x:row r="8" ht="23" customHeight="1">
      <x:c r="A8" s="69" t="str">
        <x:v>Lebanon</x:v>
      </x:c>
      <x:c r="B8" s="69"/>
      <x:c r="C8" s="69"/>
      <x:c r="D8" s="69"/>
      <x:c r="E8" s="69"/>
      <x:c r="F8" s="70"/>
      <x:c r="G8" s="69"/>
    </x:row>
    <x:row r="9" ht="23" customHeight="1">
      <x:c r="A9" s="73"/>
      <x:c r="B9" s="69"/>
      <x:c r="C9" s="69"/>
      <x:c r="D9" s="69"/>
      <x:c r="E9" s="74"/>
      <x:c r="F9" s="75"/>
      <x:c r="G9" s="73"/>
    </x:row>
    <x:row r="10" ht="34" customHeight="1">
      <x:c r="A10" s="142" t="str">
        <x:v>Line number</x:v>
      </x:c>
      <x:c r="B10" s="143" t="str">
        <x:v>Quantity</x:v>
      </x:c>
      <x:c r="C10" s="143" t="str">
        <x:v>Description</x:v>
      </x:c>
      <x:c r="D10" s="143" t="str">
        <x:v>Lead Time</x:v>
      </x:c>
      <x:c r="E10" s="144" t="str">
        <x:v>Unit Price USD</x:v>
      </x:c>
      <x:c r="F10" s="145" t="str">
        <x:v>Total USD</x:v>
      </x:c>
      <x:c r="G10" s="142" t="str">
        <x:v>Item remarks</x:v>
      </x:c>
    </x:row>
    <x:row r="11" ht="62" customHeight="1">
      <x:c r="A11" s="85" t="n">
        <x:v>1</x:v>
      </x:c>
      <x:c r="B11" s="98" t="n">
        <x:v>400</x:v>
      </x:c>
      <x:c r="C11" s="82" t="str">
        <x:v>Sterilization, kit C (according to UNICEF specifications S9908200)</x:v>
      </x:c>
      <x:c r="D11" s="82" t="str">
        <x:v>3 weeks after order confirmation</x:v>
      </x:c>
      <x:c r="E11" s="124" t="n">
        <x:v>450</x:v>
      </x:c>
      <x:c r="F11" s="125" t="n">
        <x:f>B11*E11</x:f>
        <x:v>180000</x:v>
      </x:c>
      <x:c r="G11" s="85" t="str">
        <x:v>No cold chain packaging required. Lead time excludes transit.</x:v>
      </x:c>
    </x:row>
    <x:row r="12" ht="23" customHeight="1">
      <x:c r="A12" s="73"/>
      <x:c r="B12" s="69"/>
      <x:c r="C12" s="82"/>
      <x:c r="D12" s="82"/>
      <x:c r="E12" s="126"/>
      <x:c r="F12" s="127"/>
      <x:c r="G12" s="85"/>
    </x:row>
    <x:row r="13" ht="23" customHeight="1">
      <x:c r="A13" s="86"/>
      <x:c r="B13" s="87"/>
      <x:c r="C13" s="88"/>
      <x:c r="D13" s="88"/>
      <x:c r="E13" s="128"/>
      <x:c r="F13" s="129"/>
      <x:c r="G13" s="85"/>
    </x:row>
    <x:row r="14" ht="23" customHeight="1">
      <x:c r="A14" s="73"/>
      <x:c r="B14" s="69"/>
      <x:c r="C14" s="82"/>
      <x:c r="D14" s="82"/>
      <x:c r="E14" s="126"/>
      <x:c r="F14" s="127"/>
      <x:c r="G14" s="85"/>
    </x:row>
    <x:row r="15" ht="23" customHeight="1">
      <x:c r="A15" s="73"/>
      <x:c r="B15" s="69"/>
      <x:c r="C15" s="82"/>
      <x:c r="D15" s="82"/>
      <x:c r="E15" s="130" t="str">
        <x:v>Total Price EXW</x:v>
      </x:c>
      <x:c r="F15" s="131" t="n">
        <x:f>SUM(F11:F14)</x:f>
        <x:v>180000</x:v>
      </x:c>
      <x:c r="G15" s="93"/>
    </x:row>
    <x:row r="16" ht="23" customHeight="1">
      <x:c r="A16" s="73"/>
      <x:c r="B16" s="69"/>
      <x:c r="C16" s="82"/>
      <x:c r="D16" s="82"/>
      <x:c r="E16" s="83"/>
      <x:c r="F16" s="84"/>
      <x:c r="G16" s="85"/>
    </x:row>
    <x:row r="17" ht="34" customHeight="1">
      <x:c r="A17" s="146" t="str">
        <x:v>Mode</x:v>
      </x:c>
      <x:c r="B17" s="147" t="str">
        <x:v>Forwarder / Quote ref</x:v>
      </x:c>
      <x:c r="C17" s="147" t="str">
        <x:v>Freight USD</x:v>
      </x:c>
      <x:c r="D17" s="147" t="str">
        <x:v>Transit time</x:v>
      </x:c>
      <x:c r="E17" s="148" t="str">
        <x:v>Order to arrival</x:v>
      </x:c>
      <x:c r="F17" s="149" t="str">
        <x:v>Grand Total USD</x:v>
      </x:c>
      <x:c r="G17" s="146" t="str">
        <x:v>Validity / Item remarks</x:v>
      </x:c>
    </x:row>
    <x:row r="18" ht="98" customHeight="1">
      <x:c r="A18" s="85" t="str">
        <x:v>Air</x:v>
      </x:c>
      <x:c r="B18" s="82" t="str">
        <x:v>Euro Air Cargo / LEB-5933010</x:v>
      </x:c>
      <x:c r="C18" s="157" t="n">
        <x:v>18975</x:v>
      </x:c>
      <x:c r="D18" s="150" t="str">
        <x:v>3 - 5 days</x:v>
      </x:c>
      <x:c r="E18" s="151" t="str">
        <x:v>24 - 26 days</x:v>
      </x:c>
      <x:c r="F18" s="125" t="n">
        <x:f>$F$15+C18</x:f>
        <x:v>198975</x:v>
      </x:c>
      <x:c r="G18" s="85" t="str">
        <x:v>14 days from issue. Fastest option; freight is USD 15,825 above sea. Consider if the remaining delivery window becomes too short for sea.</x:v>
      </x:c>
    </x:row>
    <x:row r="19" ht="98" customHeight="1">
      <x:c r="A19" s="120" t="str">
        <x:v>Sea</x:v>
      </x:c>
      <x:c r="B19" s="121" t="str">
        <x:v>Red Ocean Shipping / R39921-BEY</x:v>
      </x:c>
      <x:c r="C19" s="158" t="n">
        <x:v>3150</x:v>
      </x:c>
      <x:c r="D19" s="152" t="str">
        <x:v>25 - 30 days</x:v>
      </x:c>
      <x:c r="E19" s="153" t="str">
        <x:v>46 - 51 days</x:v>
      </x:c>
      <x:c r="F19" s="135" t="n">
        <x:f>$F$15+C19</x:f>
        <x:v>183150</x:v>
      </x:c>
      <x:c r="G19" s="120" t="str">
        <x:v>30 days. Lowest freight cost; the longest planned transit. Funding and order timing must leave enough time before the target arrival.</x:v>
      </x:c>
    </x:row>
    <x:row r="20" ht="98" customHeight="1">
      <x:c r="A20" s="85" t="str">
        <x:v>Road</x:v>
      </x:c>
      <x:c r="B20" s="98" t="str">
        <x:v>Euro Road Logistics Co. / LB8214498</x:v>
      </x:c>
      <x:c r="C20" s="157" t="n">
        <x:v>5400</x:v>
      </x:c>
      <x:c r="D20" s="154" t="str">
        <x:v>15 - 21 days</x:v>
      </x:c>
      <x:c r="E20" s="151" t="str">
        <x:v>36 - 42 days</x:v>
      </x:c>
      <x:c r="F20" s="125" t="n">
        <x:f>$F$15+C20</x:f>
        <x:v>185400</x:v>
      </x:c>
      <x:c r="G20" s="85" t="str">
        <x:v>10 days. Faster than sea and USD 2,250 more. Conflict-sensitive zones, border delays and clearance risks may cause delays or disruptions.</x:v>
      </x:c>
    </x:row>
    <x:row r="21" ht="23" customHeight="1">
      <x:c r="A21" s="86"/>
      <x:c r="B21" s="95"/>
      <x:c r="C21" s="88"/>
      <x:c r="D21" s="88"/>
      <x:c r="E21" s="89"/>
      <x:c r="F21" s="90"/>
      <x:c r="G21" s="96"/>
    </x:row>
    <x:row r="22" ht="23" customHeight="1">
      <x:c r="A22" s="73"/>
      <x:c r="B22" s="81"/>
      <x:c r="C22" s="82"/>
      <x:c r="D22" s="82"/>
      <x:c r="E22" s="83"/>
      <x:c r="F22" s="83"/>
      <x:c r="G22" s="85"/>
    </x:row>
    <x:row r="23" ht="23" customHeight="1">
      <x:c r="A23" s="136" t="str">
        <x:v>General remark / Recommendation</x:v>
      </x:c>
      <x:c r="B23" s="137"/>
      <x:c r="C23" s="94"/>
      <x:c r="D23" s="94"/>
      <x:c r="E23" s="91"/>
      <x:c r="F23" s="91"/>
      <x:c r="G23" s="93"/>
    </x:row>
    <x:row r="24" ht="48" customHeight="1">
      <x:c r="A24" s="138" t="str">
        <x:v>Freight rates may change. Air, sea and road validity periods are 14, 30 and 10 days respectively. Reconfirm rates and availability at final order; these rates are not locked until funding becomes active.</x:v>
      </x:c>
      <x:c r="B24" s="139"/>
      <x:c r="C24" s="140"/>
      <x:c r="D24" s="140"/>
      <x:c r="E24" s="141"/>
      <x:c r="F24" s="141"/>
      <x:c r="G24" s="138"/>
    </x:row>
    <x:row r="25" ht="48" customHeight="1">
      <x:c r="A25" s="85" t="str">
        <x:v>Order-to-arrival estimates add 21 days of lead time to the quoted transit ranges. They start at order confirmation and exclude the waiting period for funding; actual arrival remains subject to booking and clearance.</x:v>
      </x:c>
      <x:c r="B25" s="98"/>
      <x:c r="C25" s="82"/>
      <x:c r="D25" s="82"/>
      <x:c r="E25" s="99"/>
      <x:c r="F25" s="99"/>
      <x:c r="G25" s="85"/>
    </x:row>
    <x:row r="26" ht="48" customHeight="1">
      <x:c r="A26" s="85" t="str">
        <x:v>Sea is the preferred cost option only if the confirmed order date leaves at least the quoted 46-51 days before the approximate two-month target. The funding activation and order dates are unknown, so arrival within two months from now cannot be guaranteed.</x:v>
      </x:c>
      <x:c r="B26" s="98"/>
      <x:c r="C26" s="82"/>
      <x:c r="D26" s="82"/>
      <x:c r="E26" s="99"/>
      <x:c r="F26" s="99"/>
      <x:c r="G26" s="85"/>
    </x:row>
    <x:row r="27" ht="48" customHeight="1">
      <x:c r="A27" s="85" t="str">
        <x:v>Confirm funding availability, the order date and the acceptable arrival window first. If sea no longer fits, compare the faster air option with the available budget. Road is a conditional alternative only after checking border conditions; its stated transit time is not a guarantee.</x:v>
      </x:c>
      <x:c r="B27" s="98"/>
      <x:c r="C27" s="82"/>
      <x:c r="D27" s="82"/>
      <x:c r="E27" s="99"/>
      <x:c r="F27" s="99"/>
      <x:c r="G27" s="85"/>
    </x:row>
    <x:row r="28" ht="23" customHeight="1">
      <x:c r="A28" s="73"/>
      <x:c r="B28" s="81"/>
      <x:c r="C28" s="82"/>
      <x:c r="D28" s="82"/>
      <x:c r="E28" s="83"/>
      <x:c r="F28" s="83"/>
      <x:c r="G28" s="85"/>
    </x:row>
    <x:row r="29" ht="23" customHeight="1">
      <x:c r="A29" s="73"/>
      <x:c r="B29" s="81"/>
      <x:c r="C29" s="82"/>
      <x:c r="D29" s="82"/>
      <x:c r="E29" s="83"/>
      <x:c r="F29" s="83"/>
      <x:c r="G29" s="85"/>
    </x:row>
    <x:row r="30" ht="23" customHeight="1">
      <x:c r="A30" s="73" t="str">
        <x:v>Currency</x:v>
      </x:c>
      <x:c r="B30" s="156" t="str">
        <x:v>US Dollars</x:v>
      </x:c>
      <x:c r="C30" s="82"/>
      <x:c r="D30" s="82"/>
      <x:c r="E30" s="83"/>
      <x:c r="F30" s="83"/>
      <x:c r="G30" s="85"/>
    </x:row>
    <x:row r="31" ht="23" customHeight="1">
      <x:c r="A31" s="73" t="str">
        <x:v>Incoterm</x:v>
      </x:c>
      <x:c r="B31" s="156" t="str">
        <x:v>CIP</x:v>
      </x:c>
      <x:c r="C31" s="82"/>
      <x:c r="D31" s="82"/>
      <x:c r="E31" s="83"/>
      <x:c r="F31" s="83"/>
      <x:c r="G31" s="85"/>
    </x:row>
    <x:row r="32" ht="23" customHeight="1">
      <x:c r="A32" s="73" t="str">
        <x:v>Payment condition</x:v>
      </x:c>
      <x:c r="B32" s="156" t="str">
        <x:v>30 days after invoice</x:v>
      </x:c>
      <x:c r="C32" s="82"/>
      <x:c r="D32" s="82"/>
      <x:c r="E32" s="83"/>
      <x:c r="F32" s="83"/>
      <x:c r="G32" s="85"/>
    </x:row>
    <x:row r="33" ht="36" customHeight="1">
      <x:c r="A33" s="73" t="str">
        <x:v>Offer validity</x:v>
      </x:c>
      <x:c r="B33" s="156" t="str">
        <x:v>30 days from date of offer</x:v>
      </x:c>
      <x:c r="C33" s="82" t="str">
        <x:v>Product offer validity; freight remains subject to the mode-specific validity above.</x:v>
      </x:c>
      <x:c r="D33" s="82"/>
      <x:c r="E33" s="99"/>
      <x:c r="F33" s="99"/>
      <x:c r="G33" s="85"/>
    </x:row>
    <x:row r="34" ht="23" customHeight="1">
      <x:c r="A34" s="73"/>
      <x:c r="B34" s="81"/>
      <x:c r="C34" s="82"/>
      <x:c r="D34" s="82"/>
      <x:c r="E34" s="83"/>
      <x:c r="F34" s="83"/>
      <x:c r="G34" s="85"/>
    </x:row>
    <x:row r="35" ht="12.5">
      <x:c r="A35" s="35"/>
      <x:c r="B35" s="36"/>
      <x:c r="C35" s="37"/>
      <x:c r="D35" s="37"/>
      <x:c r="E35" s="38"/>
      <x:c r="F35" s="38"/>
      <x:c r="G35" s="39"/>
    </x:row>
    <x:row r="36" ht="12.5">
      <x:c r="A36" s="35"/>
      <x:c r="B36" s="36"/>
      <x:c r="C36" s="37"/>
      <x:c r="D36" s="37"/>
      <x:c r="E36" s="38"/>
      <x:c r="F36" s="38"/>
      <x:c r="G36" s="39"/>
    </x:row>
    <x:row r="37" ht="12.5">
      <x:c r="A37" s="35"/>
      <x:c r="B37" s="36"/>
      <x:c r="C37" s="37"/>
      <x:c r="D37" s="37"/>
      <x:c r="E37" s="38"/>
      <x:c r="F37" s="38"/>
      <x:c r="G37" s="39"/>
    </x:row>
    <x:row r="38" ht="12.5">
      <x:c r="A38" s="35"/>
      <x:c r="B38" s="36"/>
      <x:c r="C38" s="37"/>
      <x:c r="D38" s="37"/>
      <x:c r="E38" s="38"/>
      <x:c r="F38" s="38"/>
      <x:c r="G38" s="39"/>
    </x:row>
    <x:row r="39" ht="12.5">
      <x:c r="A39" s="35"/>
      <x:c r="B39" s="36"/>
      <x:c r="C39" s="37"/>
      <x:c r="D39" s="37"/>
      <x:c r="E39" s="38"/>
      <x:c r="F39" s="38"/>
      <x:c r="G39" s="39"/>
    </x:row>
    <x:row r="40" ht="12.5">
      <x:c r="A40" s="35"/>
      <x:c r="B40" s="36"/>
      <x:c r="C40" s="37"/>
      <x:c r="D40" s="37"/>
      <x:c r="E40" s="38"/>
      <x:c r="F40" s="38"/>
      <x:c r="G40" s="39"/>
    </x:row>
    <x:row r="41" ht="12.5">
      <x:c r="A41" s="35"/>
      <x:c r="B41" s="36"/>
      <x:c r="C41" s="37"/>
      <x:c r="D41" s="37"/>
      <x:c r="E41" s="38"/>
      <x:c r="F41" s="38"/>
      <x:c r="G41" s="39"/>
    </x:row>
    <x:row r="42" ht="12.5">
      <x:c r="A42" s="35"/>
      <x:c r="B42" s="36"/>
      <x:c r="C42" s="37"/>
      <x:c r="D42" s="37"/>
      <x:c r="E42" s="38"/>
      <x:c r="F42" s="38"/>
      <x:c r="G42" s="39"/>
    </x:row>
    <x:row r="43" ht="12.5">
      <x:c r="A43" s="35"/>
      <x:c r="B43" s="36"/>
      <x:c r="C43" s="37"/>
      <x:c r="D43" s="37"/>
      <x:c r="E43" s="38"/>
      <x:c r="F43" s="38"/>
      <x:c r="G43" s="39"/>
    </x:row>
    <x:row r="44" ht="12.5">
      <x:c r="A44" s="35"/>
      <x:c r="B44" s="36"/>
      <x:c r="C44" s="37"/>
      <x:c r="D44" s="37"/>
      <x:c r="E44" s="38"/>
      <x:c r="F44" s="38"/>
      <x:c r="G44" s="39"/>
    </x:row>
    <x:row r="45" ht="12.5">
      <x:c r="A45" s="35"/>
      <x:c r="B45" s="36"/>
      <x:c r="C45" s="37"/>
      <x:c r="D45" s="37"/>
      <x:c r="E45" s="38"/>
      <x:c r="F45" s="38"/>
      <x:c r="G45" s="39"/>
    </x:row>
    <x:row r="46" ht="12.5">
      <x:c r="A46" s="35"/>
      <x:c r="B46" s="36"/>
      <x:c r="C46" s="37"/>
      <x:c r="D46" s="37"/>
      <x:c r="E46" s="38"/>
      <x:c r="F46" s="38"/>
      <x:c r="G46" s="39"/>
    </x:row>
    <x:row r="47" ht="12.5">
      <x:c r="A47" s="35"/>
      <x:c r="B47" s="36"/>
      <x:c r="C47" s="37"/>
      <x:c r="D47" s="37"/>
      <x:c r="E47" s="38"/>
      <x:c r="F47" s="38"/>
      <x:c r="G47" s="39"/>
    </x:row>
    <x:row r="48" ht="12.5">
      <x:c r="A48" s="35"/>
      <x:c r="B48" s="36"/>
      <x:c r="C48" s="37"/>
      <x:c r="D48" s="37"/>
      <x:c r="E48" s="38"/>
      <x:c r="F48" s="38"/>
      <x:c r="G48" s="39"/>
    </x:row>
    <x:row r="49" ht="12.5">
      <x:c r="A49" s="35"/>
      <x:c r="B49" s="36"/>
      <x:c r="C49" s="37"/>
      <x:c r="D49" s="37"/>
      <x:c r="E49" s="38"/>
      <x:c r="F49" s="38"/>
      <x:c r="G49" s="39"/>
    </x:row>
    <x:row r="50" ht="12.5">
      <x:c r="A50" s="35"/>
      <x:c r="B50" s="36"/>
      <x:c r="C50" s="37"/>
      <x:c r="D50" s="37"/>
      <x:c r="E50" s="38"/>
      <x:c r="F50" s="38"/>
      <x:c r="G50" s="39"/>
    </x:row>
    <x:row r="51" ht="12.5">
      <x:c r="A51" s="35"/>
      <x:c r="B51" s="36"/>
      <x:c r="C51" s="37"/>
      <x:c r="D51" s="37"/>
      <x:c r="E51" s="38"/>
      <x:c r="F51" s="38"/>
      <x:c r="G51" s="39"/>
    </x:row>
    <x:row r="52" ht="12.5">
      <x:c r="A52" s="35"/>
      <x:c r="B52" s="36"/>
      <x:c r="C52" s="37"/>
      <x:c r="D52" s="37"/>
      <x:c r="E52" s="38"/>
      <x:c r="F52" s="38"/>
      <x:c r="G52" s="39"/>
    </x:row>
    <x:row r="53" ht="12.5">
      <x:c r="A53" s="35"/>
      <x:c r="B53" s="36"/>
      <x:c r="C53" s="37"/>
      <x:c r="D53" s="37"/>
      <x:c r="E53" s="38"/>
      <x:c r="F53" s="38"/>
      <x:c r="G53" s="39"/>
    </x:row>
    <x:row r="54" ht="12.5">
      <x:c r="A54" s="35"/>
      <x:c r="B54" s="36"/>
      <x:c r="C54" s="37"/>
      <x:c r="D54" s="37"/>
      <x:c r="E54" s="38"/>
      <x:c r="F54" s="38"/>
      <x:c r="G54" s="39"/>
    </x:row>
    <x:row r="55" ht="12.5">
      <x:c r="A55" s="35"/>
      <x:c r="B55" s="36"/>
      <x:c r="C55" s="37"/>
      <x:c r="D55" s="37"/>
      <x:c r="E55" s="38"/>
      <x:c r="F55" s="38"/>
      <x:c r="G55" s="39"/>
    </x:row>
    <x:row r="56" ht="12.5">
      <x:c r="A56" s="35"/>
      <x:c r="B56" s="36"/>
      <x:c r="C56" s="37"/>
      <x:c r="D56" s="37"/>
      <x:c r="E56" s="38"/>
      <x:c r="F56" s="38"/>
      <x:c r="G56" s="39"/>
    </x:row>
    <x:row r="57" ht="12.5">
      <x:c r="A57" s="35"/>
      <x:c r="B57" s="36"/>
      <x:c r="C57" s="37"/>
      <x:c r="D57" s="37"/>
      <x:c r="E57" s="38"/>
      <x:c r="F57" s="38"/>
      <x:c r="G57" s="39"/>
    </x:row>
    <x:row r="58" ht="12.5">
      <x:c r="A58" s="35"/>
      <x:c r="B58" s="36"/>
      <x:c r="C58" s="37"/>
      <x:c r="D58" s="37"/>
      <x:c r="E58" s="38"/>
      <x:c r="F58" s="38"/>
      <x:c r="G58" s="39"/>
    </x:row>
    <x:row r="59" ht="12.5">
      <x:c r="A59" s="35"/>
      <x:c r="B59" s="36"/>
      <x:c r="C59" s="37"/>
      <x:c r="D59" s="37"/>
      <x:c r="E59" s="38"/>
      <x:c r="F59" s="38"/>
      <x:c r="G59" s="39"/>
    </x:row>
    <x:row r="60" ht="12.5">
      <x:c r="A60" s="35"/>
      <x:c r="B60" s="36"/>
      <x:c r="C60" s="37"/>
      <x:c r="D60" s="37"/>
      <x:c r="E60" s="38"/>
      <x:c r="F60" s="38"/>
      <x:c r="G60" s="39"/>
    </x:row>
    <x:row r="61" ht="12.5">
      <x:c r="A61" s="35"/>
      <x:c r="B61" s="36"/>
      <x:c r="C61" s="37"/>
      <x:c r="D61" s="37"/>
      <x:c r="E61" s="38"/>
      <x:c r="F61" s="38"/>
      <x:c r="G61" s="39"/>
    </x:row>
    <x:row r="62" ht="12.5">
      <x:c r="A62" s="35"/>
      <x:c r="B62" s="36"/>
      <x:c r="C62" s="37"/>
      <x:c r="D62" s="37"/>
      <x:c r="E62" s="38"/>
      <x:c r="F62" s="38"/>
      <x:c r="G62" s="39"/>
    </x:row>
  </x:sheetData>
  <x:mergeCells>
    <x:mergeCell ref="A1:F1"/>
    <x:mergeCell ref="A24:G24"/>
    <x:mergeCell ref="A25:G25"/>
    <x:mergeCell ref="A26:G26"/>
    <x:mergeCell ref="A27:G27"/>
    <x:mergeCell ref="C33:G33"/>
  </x:mergeCells>
  <x:pageMargins left="0.7" right="0.7" top="0.75" bottom="0.75" header="0.3" footer="0.3"/>
</x:worksheet>
</file>